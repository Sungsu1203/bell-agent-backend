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M2팀\06. 종근당 벤포벨\★★2025 운영\00. 예산\"/>
    </mc:Choice>
  </mc:AlternateContent>
  <xr:revisionPtr revIDLastSave="0" documentId="13_ncr:1_{65694843-4F01-4DA0-9F89-7D6C1225F145}" xr6:coauthVersionLast="36" xr6:coauthVersionMax="47" xr10:uidLastSave="{00000000-0000-0000-0000-000000000000}"/>
  <bookViews>
    <workbookView xWindow="-108" yWindow="-108" windowWidth="23256" windowHeight="12456" firstSheet="1" activeTab="1" xr2:uid="{FD042E2F-8BB0-4765-B029-E9346AFC65F9}"/>
  </bookViews>
  <sheets>
    <sheet name="1. 예산사용 상세 231123 (40억)" sheetId="4" state="hidden" r:id="rId1"/>
    <sheet name="1. 예산사용 상세 250626" sheetId="14" r:id="rId2"/>
    <sheet name="1. 예산사용 상세 240822" sheetId="10" state="hidden" r:id="rId3"/>
    <sheet name="Sheet1" sheetId="13" state="hidden" r:id="rId4"/>
    <sheet name="1. 예산사용 상세 240423" sheetId="8" state="hidden" r:id="rId5"/>
    <sheet name="1. 예산사용 상세 240318" sheetId="5" state="hidden" r:id="rId6"/>
    <sheet name="1. 예산사용 상세 231130" sheetId="2" state="hidden" r:id="rId7"/>
    <sheet name="1. 예산사용 상세 240724" sheetId="11" state="hidden" r:id="rId8"/>
    <sheet name="2. 2024년 계획 240822" sheetId="9" state="hidden" r:id="rId9"/>
    <sheet name="2. 2024년 계획 240724" sheetId="12" state="hidden" r:id="rId10"/>
    <sheet name="나. 벤포벨" sheetId="15" state="hidden" r:id="rId11"/>
    <sheet name="2. 2024년 계획 240423" sheetId="7" state="hidden" r:id="rId12"/>
    <sheet name="2. 2024년 계획 240318" sheetId="6" state="hidden" r:id="rId13"/>
    <sheet name="2. 2024년 계획 231130" sheetId="3" state="hidden" r:id="rId14"/>
  </sheets>
  <definedNames>
    <definedName name="_xlnm.Database" localSheetId="10">#REF!</definedName>
    <definedName name="_xlnm.Database">#REF!</definedName>
    <definedName name="_xlnm.Print_Area" localSheetId="0">'1. 예산사용 상세 231123 (40억)'!$A$1:$R$78</definedName>
    <definedName name="_xlnm.Print_Area" localSheetId="6">'1. 예산사용 상세 231130'!$A$1:$R$79</definedName>
    <definedName name="_xlnm.Print_Area" localSheetId="5">'1. 예산사용 상세 240318'!$A$1:$R$79</definedName>
    <definedName name="_xlnm.Print_Area" localSheetId="4">'1. 예산사용 상세 240423'!$A$1:$R$79</definedName>
    <definedName name="_xlnm.Print_Area" localSheetId="7">'1. 예산사용 상세 240724'!$A$1:$R$79</definedName>
    <definedName name="_xlnm.Print_Area" localSheetId="2">'1. 예산사용 상세 240822'!$A$1:$R$79</definedName>
    <definedName name="_xlnm.Print_Area" localSheetId="1">'1. 예산사용 상세 250626'!$A$1:$R$84</definedName>
    <definedName name="_xlnm.Print_Area" localSheetId="10">'나. 벤포벨'!$B$2:$R$62</definedName>
    <definedName name="_xlnm.Print_Titles" localSheetId="13">'2. 2024년 계획 231130'!$16:$16</definedName>
    <definedName name="_xlnm.Print_Titles" localSheetId="12">'2. 2024년 계획 240318'!$16:$16</definedName>
    <definedName name="_xlnm.Print_Titles" localSheetId="11">'2. 2024년 계획 240423'!$16:$16</definedName>
    <definedName name="_xlnm.Print_Titles" localSheetId="9">'2. 2024년 계획 240724'!$16:$16</definedName>
    <definedName name="_xlnm.Print_Titles" localSheetId="8">'2. 2024년 계획 240822'!$16:$16</definedName>
    <definedName name="품목별" localSheetId="10">#REF!</definedName>
    <definedName name="품목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4" l="1"/>
  <c r="P8" i="14"/>
  <c r="Q8" i="14"/>
  <c r="N41" i="14"/>
  <c r="N61" i="14"/>
  <c r="N48" i="14"/>
  <c r="O20" i="14" l="1"/>
  <c r="M69" i="14" l="1"/>
  <c r="L69" i="14" l="1"/>
  <c r="M72" i="14" l="1"/>
  <c r="M41" i="14"/>
  <c r="M43" i="14" l="1"/>
  <c r="L19" i="14" l="1"/>
  <c r="L73" i="14" l="1"/>
  <c r="L72" i="14"/>
  <c r="K73" i="14"/>
  <c r="L74" i="14" l="1"/>
  <c r="M48" i="14"/>
  <c r="M51" i="14" l="1"/>
  <c r="J73" i="14" l="1"/>
  <c r="J72" i="14" l="1"/>
  <c r="I43" i="14"/>
  <c r="I44" i="14"/>
  <c r="I41" i="14"/>
  <c r="J45" i="14"/>
  <c r="J51" i="14" s="1"/>
  <c r="F51" i="14"/>
  <c r="G51" i="14"/>
  <c r="L8" i="14"/>
  <c r="L20" i="14" s="1"/>
  <c r="J74" i="14" l="1"/>
  <c r="N20" i="14" l="1"/>
  <c r="R19" i="14"/>
  <c r="L27" i="14" l="1"/>
  <c r="L28" i="14"/>
  <c r="R28" i="14" s="1"/>
  <c r="R27" i="14" l="1"/>
  <c r="L30" i="14"/>
  <c r="R17" i="14" l="1"/>
  <c r="R18" i="14"/>
  <c r="K20" i="14" l="1"/>
  <c r="I45" i="14" l="1"/>
  <c r="I51" i="14" s="1"/>
  <c r="I64" i="14" l="1"/>
  <c r="I73" i="14" l="1"/>
  <c r="I72" i="14"/>
  <c r="L45" i="14"/>
  <c r="L51" i="14" s="1"/>
  <c r="I74" i="14" l="1"/>
  <c r="H58" i="14"/>
  <c r="H38" i="14" l="1"/>
  <c r="H37" i="14"/>
  <c r="H66" i="14"/>
  <c r="H73" i="14" s="1"/>
  <c r="H72" i="14" l="1"/>
  <c r="H74" i="14" s="1"/>
  <c r="H45" i="14"/>
  <c r="H44" i="14" l="1"/>
  <c r="H51" i="14" s="1"/>
  <c r="P73" i="14" l="1"/>
  <c r="M73" i="14"/>
  <c r="O73" i="14"/>
  <c r="Q73" i="14"/>
  <c r="R70" i="14"/>
  <c r="R35" i="14"/>
  <c r="R36" i="14"/>
  <c r="R34" i="14"/>
  <c r="Q51" i="14" l="1"/>
  <c r="R71" i="14" l="1"/>
  <c r="R44" i="14"/>
  <c r="Q72" i="14" l="1"/>
  <c r="R58" i="14"/>
  <c r="R59" i="14"/>
  <c r="R60" i="14"/>
  <c r="R62" i="14"/>
  <c r="R63" i="14"/>
  <c r="R65" i="14"/>
  <c r="R66" i="14"/>
  <c r="R67" i="14"/>
  <c r="R68" i="14"/>
  <c r="M74" i="14"/>
  <c r="P72" i="14"/>
  <c r="P74" i="14" s="1"/>
  <c r="O72" i="14"/>
  <c r="O74" i="14" s="1"/>
  <c r="K72" i="14"/>
  <c r="K74" i="14" s="1"/>
  <c r="R50" i="14"/>
  <c r="R47" i="14"/>
  <c r="R49" i="14"/>
  <c r="R46" i="14"/>
  <c r="R45" i="14"/>
  <c r="R41" i="14"/>
  <c r="R39" i="14"/>
  <c r="R38" i="14"/>
  <c r="R37" i="14"/>
  <c r="P51" i="14"/>
  <c r="O51" i="14"/>
  <c r="I20" i="14"/>
  <c r="H20" i="14"/>
  <c r="R69" i="14" l="1"/>
  <c r="R43" i="14"/>
  <c r="Q74" i="14"/>
  <c r="K51" i="14" l="1"/>
  <c r="R48" i="14" l="1"/>
  <c r="R6" i="14" l="1"/>
  <c r="R8" i="14" l="1"/>
  <c r="R10" i="14"/>
  <c r="R11" i="14"/>
  <c r="R12" i="14"/>
  <c r="R13" i="14"/>
  <c r="R14" i="14"/>
  <c r="R15" i="14"/>
  <c r="P20" i="14" l="1"/>
  <c r="Q20" i="14"/>
  <c r="Q60" i="15" l="1"/>
  <c r="P60" i="15"/>
  <c r="O60" i="15"/>
  <c r="N60" i="15"/>
  <c r="M60" i="15"/>
  <c r="L60" i="15"/>
  <c r="K60" i="15"/>
  <c r="J60" i="15"/>
  <c r="I60" i="15"/>
  <c r="H60" i="15"/>
  <c r="G60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Q56" i="15"/>
  <c r="P56" i="15"/>
  <c r="P58" i="15" s="1"/>
  <c r="O56" i="15"/>
  <c r="O58" i="15" s="1"/>
  <c r="N56" i="15"/>
  <c r="N58" i="15" s="1"/>
  <c r="M56" i="15"/>
  <c r="M58" i="15" s="1"/>
  <c r="L56" i="15"/>
  <c r="K56" i="15"/>
  <c r="J56" i="15"/>
  <c r="J58" i="15" s="1"/>
  <c r="I56" i="15"/>
  <c r="H56" i="15"/>
  <c r="H58" i="15" s="1"/>
  <c r="G56" i="15"/>
  <c r="G58" i="15" s="1"/>
  <c r="F56" i="15"/>
  <c r="F58" i="15" s="1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I19" i="15"/>
  <c r="I34" i="15" s="1"/>
  <c r="Q18" i="15"/>
  <c r="P18" i="15"/>
  <c r="O18" i="15"/>
  <c r="N18" i="15"/>
  <c r="M18" i="15"/>
  <c r="L18" i="15"/>
  <c r="K18" i="15"/>
  <c r="J18" i="15"/>
  <c r="I18" i="15"/>
  <c r="H18" i="15"/>
  <c r="G18" i="15"/>
  <c r="F18" i="15"/>
  <c r="R17" i="15"/>
  <c r="R18" i="15" s="1"/>
  <c r="P16" i="15"/>
  <c r="O16" i="15"/>
  <c r="N16" i="15"/>
  <c r="M16" i="15"/>
  <c r="L16" i="15"/>
  <c r="K16" i="15"/>
  <c r="J16" i="15"/>
  <c r="I16" i="15"/>
  <c r="H16" i="15"/>
  <c r="G16" i="15"/>
  <c r="F16" i="15"/>
  <c r="R15" i="15"/>
  <c r="R14" i="15"/>
  <c r="R13" i="15"/>
  <c r="Q12" i="15"/>
  <c r="Q16" i="15" s="1"/>
  <c r="Q19" i="15" s="1"/>
  <c r="Q34" i="15" s="1"/>
  <c r="Q11" i="15"/>
  <c r="P11" i="15"/>
  <c r="P19" i="15" s="1"/>
  <c r="P34" i="15" s="1"/>
  <c r="O11" i="15"/>
  <c r="N11" i="15"/>
  <c r="N19" i="15" s="1"/>
  <c r="N34" i="15" s="1"/>
  <c r="M11" i="15"/>
  <c r="M19" i="15" s="1"/>
  <c r="M34" i="15" s="1"/>
  <c r="L11" i="15"/>
  <c r="L19" i="15" s="1"/>
  <c r="L34" i="15" s="1"/>
  <c r="K11" i="15"/>
  <c r="J11" i="15"/>
  <c r="J19" i="15" s="1"/>
  <c r="J34" i="15" s="1"/>
  <c r="I11" i="15"/>
  <c r="H11" i="15"/>
  <c r="H19" i="15" s="1"/>
  <c r="H34" i="15" s="1"/>
  <c r="G11" i="15"/>
  <c r="F11" i="15"/>
  <c r="F19" i="15" s="1"/>
  <c r="F34" i="15" s="1"/>
  <c r="R10" i="15"/>
  <c r="R9" i="15"/>
  <c r="R33" i="15" l="1"/>
  <c r="K19" i="15"/>
  <c r="K34" i="15" s="1"/>
  <c r="R12" i="15"/>
  <c r="R16" i="15" s="1"/>
  <c r="R56" i="15"/>
  <c r="I58" i="15"/>
  <c r="Q58" i="15"/>
  <c r="R57" i="15"/>
  <c r="K58" i="15"/>
  <c r="G19" i="15"/>
  <c r="G34" i="15" s="1"/>
  <c r="O19" i="15"/>
  <c r="O34" i="15" s="1"/>
  <c r="L58" i="15"/>
  <c r="R11" i="15"/>
  <c r="R19" i="15" s="1"/>
  <c r="R34" i="15" s="1"/>
  <c r="R58" i="15" l="1"/>
  <c r="R16" i="14"/>
  <c r="G73" i="14" l="1"/>
  <c r="F73" i="14"/>
  <c r="G72" i="14"/>
  <c r="F72" i="14"/>
  <c r="R57" i="14"/>
  <c r="R4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R31" i="14"/>
  <c r="R32" i="14" s="1"/>
  <c r="Q30" i="14"/>
  <c r="P30" i="14"/>
  <c r="O30" i="14"/>
  <c r="N30" i="14"/>
  <c r="M30" i="14"/>
  <c r="K30" i="14"/>
  <c r="J30" i="14"/>
  <c r="I30" i="14"/>
  <c r="H30" i="14"/>
  <c r="G30" i="14"/>
  <c r="G33" i="14" s="1"/>
  <c r="G52" i="14" s="1"/>
  <c r="F30" i="14"/>
  <c r="F33" i="14" s="1"/>
  <c r="F52" i="14" s="1"/>
  <c r="R29" i="14"/>
  <c r="R26" i="14"/>
  <c r="R25" i="14"/>
  <c r="R24" i="14"/>
  <c r="R23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R21" i="14"/>
  <c r="R22" i="14" s="1"/>
  <c r="M20" i="14"/>
  <c r="J20" i="14"/>
  <c r="G20" i="14"/>
  <c r="F20" i="14"/>
  <c r="R9" i="14"/>
  <c r="R20" i="14" s="1"/>
  <c r="Q7" i="14"/>
  <c r="P7" i="14"/>
  <c r="O7" i="14"/>
  <c r="N7" i="14"/>
  <c r="M7" i="14"/>
  <c r="L7" i="14"/>
  <c r="L33" i="14" s="1"/>
  <c r="K7" i="14"/>
  <c r="J7" i="14"/>
  <c r="I7" i="14"/>
  <c r="H7" i="14"/>
  <c r="G7" i="14"/>
  <c r="F7" i="14"/>
  <c r="R5" i="14"/>
  <c r="O33" i="14" l="1"/>
  <c r="O52" i="14" s="1"/>
  <c r="O53" i="14" s="1"/>
  <c r="R30" i="14"/>
  <c r="R7" i="14"/>
  <c r="R33" i="14" s="1"/>
  <c r="H33" i="14"/>
  <c r="H52" i="14" s="1"/>
  <c r="H53" i="14" s="1"/>
  <c r="F74" i="14"/>
  <c r="F53" i="14"/>
  <c r="Q33" i="14"/>
  <c r="Q52" i="14" s="1"/>
  <c r="Q53" i="14" s="1"/>
  <c r="G74" i="14"/>
  <c r="M33" i="14"/>
  <c r="P33" i="14"/>
  <c r="P52" i="14" s="1"/>
  <c r="P53" i="14" s="1"/>
  <c r="I33" i="14"/>
  <c r="L52" i="14"/>
  <c r="L53" i="14" s="1"/>
  <c r="K33" i="14"/>
  <c r="J33" i="14"/>
  <c r="J52" i="14" s="1"/>
  <c r="N33" i="14"/>
  <c r="I52" i="14" l="1"/>
  <c r="I53" i="14" s="1"/>
  <c r="K52" i="14"/>
  <c r="K53" i="14" s="1"/>
  <c r="G53" i="14"/>
  <c r="J53" i="14"/>
  <c r="M52" i="14"/>
  <c r="M53" i="14" s="1"/>
  <c r="Q36" i="10"/>
  <c r="O41" i="10" l="1"/>
  <c r="F22" i="13" l="1"/>
  <c r="J11" i="13"/>
  <c r="F15" i="13"/>
  <c r="P37" i="10" l="1"/>
  <c r="O19" i="10" l="1"/>
  <c r="M39" i="10" l="1"/>
  <c r="M68" i="10" l="1"/>
  <c r="U25" i="12" l="1"/>
  <c r="U26" i="12" s="1"/>
  <c r="R13" i="12" s="1"/>
  <c r="R12" i="12" s="1"/>
  <c r="T25" i="12"/>
  <c r="T26" i="12" s="1"/>
  <c r="Q13" i="12" s="1"/>
  <c r="Q12" i="12" s="1"/>
  <c r="S25" i="12"/>
  <c r="S26" i="12" s="1"/>
  <c r="P13" i="12" s="1"/>
  <c r="P12" i="12" s="1"/>
  <c r="R25" i="12"/>
  <c r="R26" i="12" s="1"/>
  <c r="O13" i="12" s="1"/>
  <c r="O12" i="12" s="1"/>
  <c r="Q25" i="12"/>
  <c r="Q26" i="12" s="1"/>
  <c r="N13" i="12" s="1"/>
  <c r="N12" i="12" s="1"/>
  <c r="P25" i="12"/>
  <c r="P26" i="12" s="1"/>
  <c r="M13" i="12" s="1"/>
  <c r="O25" i="12"/>
  <c r="O26" i="12" s="1"/>
  <c r="L13" i="12" s="1"/>
  <c r="L12" i="12" s="1"/>
  <c r="N25" i="12"/>
  <c r="N26" i="12" s="1"/>
  <c r="K13" i="12" s="1"/>
  <c r="K12" i="12" s="1"/>
  <c r="M25" i="12"/>
  <c r="M26" i="12" s="1"/>
  <c r="J13" i="12" s="1"/>
  <c r="J12" i="12" s="1"/>
  <c r="L25" i="12"/>
  <c r="L26" i="12" s="1"/>
  <c r="I13" i="12" s="1"/>
  <c r="I12" i="12" s="1"/>
  <c r="K25" i="12"/>
  <c r="K26" i="12" s="1"/>
  <c r="H13" i="12" s="1"/>
  <c r="H12" i="12" s="1"/>
  <c r="J25" i="12"/>
  <c r="J26" i="12" s="1"/>
  <c r="G13" i="12" s="1"/>
  <c r="I24" i="12"/>
  <c r="H24" i="12"/>
  <c r="I23" i="12"/>
  <c r="H23" i="12"/>
  <c r="G23" i="12" s="1"/>
  <c r="I22" i="12"/>
  <c r="H22" i="12"/>
  <c r="G22" i="12" s="1"/>
  <c r="I21" i="12"/>
  <c r="H21" i="12"/>
  <c r="G21" i="12" s="1"/>
  <c r="I20" i="12"/>
  <c r="H20" i="12"/>
  <c r="G20" i="12" s="1"/>
  <c r="I19" i="12"/>
  <c r="H19" i="12"/>
  <c r="G19" i="12" s="1"/>
  <c r="I18" i="12"/>
  <c r="H18" i="12"/>
  <c r="I17" i="12"/>
  <c r="H17" i="12"/>
  <c r="E91" i="11"/>
  <c r="E92" i="11" s="1"/>
  <c r="O69" i="11"/>
  <c r="Q68" i="11"/>
  <c r="P68" i="11"/>
  <c r="N68" i="11"/>
  <c r="M68" i="11"/>
  <c r="L68" i="11"/>
  <c r="K68" i="11"/>
  <c r="J68" i="11"/>
  <c r="I68" i="11"/>
  <c r="H68" i="11"/>
  <c r="G68" i="11"/>
  <c r="G69" i="11" s="1"/>
  <c r="F68" i="11"/>
  <c r="Q67" i="11"/>
  <c r="O67" i="11"/>
  <c r="N67" i="11"/>
  <c r="N69" i="11" s="1"/>
  <c r="M67" i="11"/>
  <c r="M69" i="11" s="1"/>
  <c r="L67" i="11"/>
  <c r="L69" i="11" s="1"/>
  <c r="K67" i="11"/>
  <c r="K69" i="11" s="1"/>
  <c r="J67" i="11"/>
  <c r="I67" i="11"/>
  <c r="H67" i="11"/>
  <c r="G67" i="11"/>
  <c r="F67" i="11"/>
  <c r="F69" i="11" s="1"/>
  <c r="R66" i="11"/>
  <c r="R65" i="11"/>
  <c r="P64" i="11"/>
  <c r="R64" i="11" s="1"/>
  <c r="R63" i="11"/>
  <c r="R62" i="11"/>
  <c r="R61" i="11"/>
  <c r="R60" i="11"/>
  <c r="R59" i="11"/>
  <c r="R58" i="11"/>
  <c r="R57" i="11"/>
  <c r="R56" i="11"/>
  <c r="R55" i="11"/>
  <c r="R54" i="11"/>
  <c r="R53" i="11"/>
  <c r="Q47" i="11"/>
  <c r="O47" i="11"/>
  <c r="L47" i="11"/>
  <c r="F47" i="11"/>
  <c r="R46" i="11"/>
  <c r="R45" i="11"/>
  <c r="P44" i="11"/>
  <c r="J44" i="11"/>
  <c r="H44" i="11"/>
  <c r="R44" i="11" s="1"/>
  <c r="P43" i="11"/>
  <c r="P47" i="11" s="1"/>
  <c r="R42" i="11"/>
  <c r="R41" i="11"/>
  <c r="M40" i="11"/>
  <c r="H40" i="11"/>
  <c r="R40" i="11" s="1"/>
  <c r="L39" i="11"/>
  <c r="K39" i="11"/>
  <c r="H39" i="11"/>
  <c r="R39" i="11" s="1"/>
  <c r="R38" i="11"/>
  <c r="N37" i="11"/>
  <c r="N47" i="11" s="1"/>
  <c r="M37" i="11"/>
  <c r="M47" i="11" s="1"/>
  <c r="K37" i="11"/>
  <c r="J37" i="11"/>
  <c r="I37" i="11"/>
  <c r="H37" i="11"/>
  <c r="R36" i="11"/>
  <c r="R35" i="11"/>
  <c r="J34" i="11"/>
  <c r="J47" i="11" s="1"/>
  <c r="I34" i="11"/>
  <c r="H34" i="11"/>
  <c r="G34" i="11"/>
  <c r="R33" i="11"/>
  <c r="G32" i="11"/>
  <c r="R32" i="11" s="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R29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R27" i="11"/>
  <c r="R26" i="11"/>
  <c r="R25" i="11"/>
  <c r="R24" i="11"/>
  <c r="R23" i="11"/>
  <c r="R22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20" i="11"/>
  <c r="Q19" i="11"/>
  <c r="P19" i="11"/>
  <c r="O19" i="11"/>
  <c r="N19" i="11"/>
  <c r="M19" i="11"/>
  <c r="L19" i="11"/>
  <c r="K19" i="11"/>
  <c r="J19" i="11"/>
  <c r="H19" i="11"/>
  <c r="G19" i="11"/>
  <c r="F19" i="11"/>
  <c r="I18" i="11"/>
  <c r="R18" i="11" s="1"/>
  <c r="I17" i="11"/>
  <c r="R17" i="11" s="1"/>
  <c r="R16" i="11"/>
  <c r="R15" i="11"/>
  <c r="R14" i="11"/>
  <c r="R13" i="11"/>
  <c r="R12" i="11"/>
  <c r="R11" i="11"/>
  <c r="R10" i="11"/>
  <c r="I9" i="11"/>
  <c r="R9" i="11" s="1"/>
  <c r="I8" i="11"/>
  <c r="R8" i="11" s="1"/>
  <c r="Q7" i="11"/>
  <c r="P7" i="11"/>
  <c r="O7" i="11"/>
  <c r="N7" i="11"/>
  <c r="M7" i="11"/>
  <c r="L7" i="11"/>
  <c r="K7" i="11"/>
  <c r="J7" i="11"/>
  <c r="I7" i="11"/>
  <c r="H7" i="11"/>
  <c r="G7" i="11"/>
  <c r="G31" i="11" s="1"/>
  <c r="F7" i="11"/>
  <c r="R6" i="11"/>
  <c r="R5" i="11"/>
  <c r="M31" i="11" l="1"/>
  <c r="M48" i="11" s="1"/>
  <c r="M49" i="11" s="1"/>
  <c r="G17" i="12"/>
  <c r="G24" i="12"/>
  <c r="R28" i="11"/>
  <c r="I25" i="12"/>
  <c r="I26" i="12" s="1"/>
  <c r="G18" i="12"/>
  <c r="N31" i="11"/>
  <c r="N48" i="11" s="1"/>
  <c r="N49" i="11" s="1"/>
  <c r="R37" i="11"/>
  <c r="J31" i="11"/>
  <c r="J48" i="11" s="1"/>
  <c r="J49" i="11" s="1"/>
  <c r="G47" i="11"/>
  <c r="R67" i="11"/>
  <c r="H69" i="11"/>
  <c r="P67" i="11"/>
  <c r="P69" i="11" s="1"/>
  <c r="O31" i="11"/>
  <c r="O48" i="11" s="1"/>
  <c r="O49" i="11" s="1"/>
  <c r="H31" i="11"/>
  <c r="K31" i="11"/>
  <c r="H47" i="11"/>
  <c r="K47" i="11"/>
  <c r="I69" i="11"/>
  <c r="Q69" i="11"/>
  <c r="R7" i="11"/>
  <c r="P31" i="11"/>
  <c r="P48" i="11" s="1"/>
  <c r="P49" i="11" s="1"/>
  <c r="Q31" i="11"/>
  <c r="Q48" i="11" s="1"/>
  <c r="Q49" i="11" s="1"/>
  <c r="L31" i="11"/>
  <c r="L48" i="11" s="1"/>
  <c r="L49" i="11" s="1"/>
  <c r="I47" i="11"/>
  <c r="J69" i="11"/>
  <c r="R68" i="11"/>
  <c r="H25" i="12"/>
  <c r="H26" i="12" s="1"/>
  <c r="G25" i="12"/>
  <c r="G26" i="12" s="1"/>
  <c r="G12" i="12"/>
  <c r="E12" i="12" s="1"/>
  <c r="E13" i="12"/>
  <c r="F13" i="12"/>
  <c r="M12" i="12"/>
  <c r="F12" i="12" s="1"/>
  <c r="R19" i="11"/>
  <c r="G49" i="11"/>
  <c r="G48" i="11"/>
  <c r="R31" i="11"/>
  <c r="I19" i="11"/>
  <c r="I31" i="11" s="1"/>
  <c r="I48" i="11" s="1"/>
  <c r="I49" i="11" s="1"/>
  <c r="R43" i="11"/>
  <c r="F31" i="11"/>
  <c r="R34" i="11"/>
  <c r="R69" i="11" l="1"/>
  <c r="K48" i="11"/>
  <c r="K49" i="11" s="1"/>
  <c r="R47" i="11"/>
  <c r="H48" i="11"/>
  <c r="H49" i="11" s="1"/>
  <c r="D13" i="12"/>
  <c r="D12" i="12"/>
  <c r="R48" i="11"/>
  <c r="R49" i="11"/>
  <c r="F48" i="11"/>
  <c r="F49" i="11"/>
  <c r="O68" i="10" l="1"/>
  <c r="O37" i="10"/>
  <c r="Q37" i="10"/>
  <c r="L68" i="10"/>
  <c r="L67" i="10"/>
  <c r="M34" i="10"/>
  <c r="L69" i="10" l="1"/>
  <c r="R42" i="10"/>
  <c r="R35" i="10"/>
  <c r="L39" i="10" l="1"/>
  <c r="L47" i="10" s="1"/>
  <c r="M40" i="10"/>
  <c r="J68" i="10" l="1"/>
  <c r="Q68" i="10"/>
  <c r="P68" i="10"/>
  <c r="N68" i="10"/>
  <c r="K68" i="10"/>
  <c r="I68" i="10"/>
  <c r="H68" i="10"/>
  <c r="G68" i="10"/>
  <c r="F68" i="10"/>
  <c r="Q67" i="10"/>
  <c r="O67" i="10"/>
  <c r="N67" i="10"/>
  <c r="N69" i="10" s="1"/>
  <c r="K67" i="10"/>
  <c r="K69" i="10" s="1"/>
  <c r="J67" i="10"/>
  <c r="I67" i="10"/>
  <c r="I69" i="10" s="1"/>
  <c r="H67" i="10"/>
  <c r="H69" i="10" s="1"/>
  <c r="G67" i="10"/>
  <c r="F67" i="10"/>
  <c r="F69" i="10" s="1"/>
  <c r="R66" i="10"/>
  <c r="R65" i="10"/>
  <c r="P64" i="10"/>
  <c r="P67" i="10" s="1"/>
  <c r="P69" i="10" s="1"/>
  <c r="M67" i="10"/>
  <c r="R63" i="10"/>
  <c r="R62" i="10"/>
  <c r="R61" i="10"/>
  <c r="R60" i="10"/>
  <c r="R59" i="10"/>
  <c r="R58" i="10"/>
  <c r="R57" i="10"/>
  <c r="R56" i="10"/>
  <c r="R55" i="10"/>
  <c r="R54" i="10"/>
  <c r="R53" i="10"/>
  <c r="Q47" i="10"/>
  <c r="F47" i="10"/>
  <c r="R46" i="10"/>
  <c r="R45" i="10"/>
  <c r="P44" i="10"/>
  <c r="P47" i="10" s="1"/>
  <c r="J44" i="10"/>
  <c r="H44" i="10"/>
  <c r="R41" i="10"/>
  <c r="H40" i="10"/>
  <c r="R40" i="10" s="1"/>
  <c r="K39" i="10"/>
  <c r="H39" i="10"/>
  <c r="R38" i="10"/>
  <c r="O47" i="10"/>
  <c r="N37" i="10"/>
  <c r="N47" i="10" s="1"/>
  <c r="M37" i="10"/>
  <c r="M47" i="10" s="1"/>
  <c r="K37" i="10"/>
  <c r="J37" i="10"/>
  <c r="I37" i="10"/>
  <c r="H37" i="10"/>
  <c r="R37" i="10" s="1"/>
  <c r="R36" i="10"/>
  <c r="J34" i="10"/>
  <c r="I34" i="10"/>
  <c r="H34" i="10"/>
  <c r="G34" i="10"/>
  <c r="R34" i="10" s="1"/>
  <c r="R33" i="10"/>
  <c r="G32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R29" i="10"/>
  <c r="R30" i="10" s="1"/>
  <c r="Q28" i="10"/>
  <c r="P28" i="10"/>
  <c r="O28" i="10"/>
  <c r="N28" i="10"/>
  <c r="M28" i="10"/>
  <c r="L28" i="10"/>
  <c r="K28" i="10"/>
  <c r="J28" i="10"/>
  <c r="I28" i="10"/>
  <c r="H28" i="10"/>
  <c r="G28" i="10"/>
  <c r="F28" i="10"/>
  <c r="R27" i="10"/>
  <c r="R26" i="10"/>
  <c r="R25" i="10"/>
  <c r="R24" i="10"/>
  <c r="R23" i="10"/>
  <c r="R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R20" i="10"/>
  <c r="R21" i="10" s="1"/>
  <c r="Q19" i="10"/>
  <c r="P19" i="10"/>
  <c r="N19" i="10"/>
  <c r="M19" i="10"/>
  <c r="L19" i="10"/>
  <c r="K19" i="10"/>
  <c r="J19" i="10"/>
  <c r="H19" i="10"/>
  <c r="G19" i="10"/>
  <c r="F19" i="10"/>
  <c r="I18" i="10"/>
  <c r="R18" i="10" s="1"/>
  <c r="I17" i="10"/>
  <c r="R17" i="10" s="1"/>
  <c r="R16" i="10"/>
  <c r="R15" i="10"/>
  <c r="R14" i="10"/>
  <c r="R13" i="10"/>
  <c r="R12" i="10"/>
  <c r="R11" i="10"/>
  <c r="R10" i="10"/>
  <c r="I9" i="10"/>
  <c r="R9" i="10" s="1"/>
  <c r="I8" i="10"/>
  <c r="Q7" i="10"/>
  <c r="P7" i="10"/>
  <c r="O7" i="10"/>
  <c r="N7" i="10"/>
  <c r="M7" i="10"/>
  <c r="L7" i="10"/>
  <c r="K7" i="10"/>
  <c r="J7" i="10"/>
  <c r="I7" i="10"/>
  <c r="H7" i="10"/>
  <c r="G7" i="10"/>
  <c r="F7" i="10"/>
  <c r="F31" i="10" s="1"/>
  <c r="R6" i="10"/>
  <c r="R5" i="10"/>
  <c r="U25" i="9"/>
  <c r="U26" i="9" s="1"/>
  <c r="R13" i="9" s="1"/>
  <c r="R12" i="9" s="1"/>
  <c r="T25" i="9"/>
  <c r="T26" i="9" s="1"/>
  <c r="Q13" i="9" s="1"/>
  <c r="Q12" i="9" s="1"/>
  <c r="S25" i="9"/>
  <c r="S26" i="9" s="1"/>
  <c r="P13" i="9" s="1"/>
  <c r="P12" i="9" s="1"/>
  <c r="R25" i="9"/>
  <c r="R26" i="9" s="1"/>
  <c r="O13" i="9" s="1"/>
  <c r="O12" i="9" s="1"/>
  <c r="Q25" i="9"/>
  <c r="Q26" i="9" s="1"/>
  <c r="N13" i="9" s="1"/>
  <c r="N12" i="9" s="1"/>
  <c r="P25" i="9"/>
  <c r="P26" i="9" s="1"/>
  <c r="M13" i="9" s="1"/>
  <c r="O25" i="9"/>
  <c r="O26" i="9" s="1"/>
  <c r="L13" i="9" s="1"/>
  <c r="L12" i="9" s="1"/>
  <c r="N25" i="9"/>
  <c r="N26" i="9" s="1"/>
  <c r="K13" i="9" s="1"/>
  <c r="K12" i="9" s="1"/>
  <c r="M25" i="9"/>
  <c r="M26" i="9" s="1"/>
  <c r="J13" i="9" s="1"/>
  <c r="J12" i="9" s="1"/>
  <c r="L25" i="9"/>
  <c r="L26" i="9" s="1"/>
  <c r="I13" i="9" s="1"/>
  <c r="I12" i="9" s="1"/>
  <c r="K25" i="9"/>
  <c r="K26" i="9" s="1"/>
  <c r="H13" i="9" s="1"/>
  <c r="H12" i="9" s="1"/>
  <c r="J25" i="9"/>
  <c r="J26" i="9" s="1"/>
  <c r="G13" i="9" s="1"/>
  <c r="I24" i="9"/>
  <c r="G24" i="9" s="1"/>
  <c r="H24" i="9"/>
  <c r="I23" i="9"/>
  <c r="H23" i="9"/>
  <c r="G23" i="9" s="1"/>
  <c r="I22" i="9"/>
  <c r="H22" i="9"/>
  <c r="I21" i="9"/>
  <c r="H21" i="9"/>
  <c r="I20" i="9"/>
  <c r="H20" i="9"/>
  <c r="G20" i="9" s="1"/>
  <c r="I19" i="9"/>
  <c r="H19" i="9"/>
  <c r="G19" i="9" s="1"/>
  <c r="I18" i="9"/>
  <c r="H18" i="9"/>
  <c r="I17" i="9"/>
  <c r="H17" i="9"/>
  <c r="G31" i="10" l="1"/>
  <c r="G48" i="10" s="1"/>
  <c r="R64" i="10"/>
  <c r="H47" i="10"/>
  <c r="H31" i="10"/>
  <c r="H48" i="10" s="1"/>
  <c r="H49" i="10" s="1"/>
  <c r="I47" i="10"/>
  <c r="R44" i="10"/>
  <c r="G47" i="10"/>
  <c r="R32" i="10"/>
  <c r="R28" i="10"/>
  <c r="K47" i="10"/>
  <c r="G18" i="9"/>
  <c r="Q31" i="10"/>
  <c r="Q48" i="10" s="1"/>
  <c r="Q49" i="10" s="1"/>
  <c r="J47" i="10"/>
  <c r="J31" i="10"/>
  <c r="J48" i="10" s="1"/>
  <c r="J49" i="10" s="1"/>
  <c r="I19" i="10"/>
  <c r="I31" i="10" s="1"/>
  <c r="I48" i="10" s="1"/>
  <c r="I49" i="10" s="1"/>
  <c r="G69" i="10"/>
  <c r="M31" i="10"/>
  <c r="M48" i="10" s="1"/>
  <c r="M49" i="10" s="1"/>
  <c r="Q69" i="10"/>
  <c r="H25" i="9"/>
  <c r="H26" i="9" s="1"/>
  <c r="G22" i="9"/>
  <c r="G21" i="9"/>
  <c r="O31" i="10"/>
  <c r="O48" i="10" s="1"/>
  <c r="O49" i="10" s="1"/>
  <c r="P31" i="10"/>
  <c r="P48" i="10" s="1"/>
  <c r="P49" i="10" s="1"/>
  <c r="N31" i="10"/>
  <c r="N48" i="10" s="1"/>
  <c r="N49" i="10" s="1"/>
  <c r="L31" i="10"/>
  <c r="L48" i="10" s="1"/>
  <c r="L49" i="10" s="1"/>
  <c r="K31" i="10"/>
  <c r="K48" i="10" s="1"/>
  <c r="K49" i="10" s="1"/>
  <c r="I25" i="9"/>
  <c r="I26" i="9" s="1"/>
  <c r="J69" i="10"/>
  <c r="M69" i="10"/>
  <c r="O69" i="10"/>
  <c r="R68" i="10"/>
  <c r="R67" i="10"/>
  <c r="R39" i="10"/>
  <c r="F48" i="10"/>
  <c r="F49" i="10"/>
  <c r="G49" i="10"/>
  <c r="R7" i="10"/>
  <c r="R43" i="10"/>
  <c r="R8" i="10"/>
  <c r="R19" i="10" s="1"/>
  <c r="E13" i="9"/>
  <c r="G12" i="9"/>
  <c r="E12" i="9" s="1"/>
  <c r="M12" i="9"/>
  <c r="F12" i="9" s="1"/>
  <c r="F13" i="9"/>
  <c r="G17" i="9"/>
  <c r="J44" i="8"/>
  <c r="J34" i="8"/>
  <c r="R47" i="10" l="1"/>
  <c r="R69" i="10"/>
  <c r="G25" i="9"/>
  <c r="G26" i="9" s="1"/>
  <c r="R31" i="10"/>
  <c r="D12" i="9"/>
  <c r="D13" i="9"/>
  <c r="E91" i="8"/>
  <c r="E92" i="8" s="1"/>
  <c r="R49" i="10" l="1"/>
  <c r="R48" i="10"/>
  <c r="O41" i="8"/>
  <c r="O67" i="8" l="1"/>
  <c r="O37" i="8" l="1"/>
  <c r="I68" i="8"/>
  <c r="I34" i="8" l="1"/>
  <c r="I37" i="8" l="1"/>
  <c r="Q68" i="8" l="1"/>
  <c r="P68" i="8"/>
  <c r="O68" i="8"/>
  <c r="N68" i="8"/>
  <c r="M68" i="8"/>
  <c r="L68" i="8"/>
  <c r="K68" i="8"/>
  <c r="J68" i="8"/>
  <c r="H68" i="8"/>
  <c r="G68" i="8"/>
  <c r="F68" i="8"/>
  <c r="Q67" i="8"/>
  <c r="Q69" i="8" s="1"/>
  <c r="N67" i="8"/>
  <c r="N69" i="8" s="1"/>
  <c r="L67" i="8"/>
  <c r="K67" i="8"/>
  <c r="J67" i="8"/>
  <c r="I67" i="8"/>
  <c r="G67" i="8"/>
  <c r="G69" i="8" s="1"/>
  <c r="F67" i="8"/>
  <c r="F69" i="8" s="1"/>
  <c r="R66" i="8"/>
  <c r="R65" i="8"/>
  <c r="P64" i="8"/>
  <c r="R64" i="8" s="1"/>
  <c r="M64" i="8"/>
  <c r="M67" i="8" s="1"/>
  <c r="M69" i="8" s="1"/>
  <c r="R63" i="8"/>
  <c r="R62" i="8"/>
  <c r="R61" i="8"/>
  <c r="R60" i="8"/>
  <c r="R59" i="8"/>
  <c r="R58" i="8"/>
  <c r="R57" i="8"/>
  <c r="R56" i="8"/>
  <c r="R55" i="8"/>
  <c r="R54" i="8"/>
  <c r="R53" i="8"/>
  <c r="Q47" i="8"/>
  <c r="F47" i="8"/>
  <c r="R46" i="8"/>
  <c r="R45" i="8"/>
  <c r="P44" i="8"/>
  <c r="M44" i="8"/>
  <c r="H44" i="8"/>
  <c r="R44" i="8" s="1"/>
  <c r="P43" i="8"/>
  <c r="P47" i="8" s="1"/>
  <c r="R42" i="8"/>
  <c r="R41" i="8"/>
  <c r="H40" i="8"/>
  <c r="R40" i="8" s="1"/>
  <c r="M39" i="8"/>
  <c r="K39" i="8"/>
  <c r="H39" i="8"/>
  <c r="R38" i="8"/>
  <c r="N37" i="8"/>
  <c r="N47" i="8" s="1"/>
  <c r="M37" i="8"/>
  <c r="L37" i="8"/>
  <c r="L47" i="8" s="1"/>
  <c r="K37" i="8"/>
  <c r="J37" i="8"/>
  <c r="H37" i="8"/>
  <c r="J47" i="8"/>
  <c r="H34" i="8"/>
  <c r="G34" i="8"/>
  <c r="R34" i="8" s="1"/>
  <c r="R33" i="8"/>
  <c r="G32" i="8"/>
  <c r="Q30" i="8"/>
  <c r="P30" i="8"/>
  <c r="O30" i="8"/>
  <c r="N30" i="8"/>
  <c r="M30" i="8"/>
  <c r="L30" i="8"/>
  <c r="K30" i="8"/>
  <c r="J30" i="8"/>
  <c r="I30" i="8"/>
  <c r="H30" i="8"/>
  <c r="G30" i="8"/>
  <c r="F30" i="8"/>
  <c r="R29" i="8"/>
  <c r="R30" i="8" s="1"/>
  <c r="Q28" i="8"/>
  <c r="P28" i="8"/>
  <c r="O28" i="8"/>
  <c r="N28" i="8"/>
  <c r="M28" i="8"/>
  <c r="L28" i="8"/>
  <c r="K28" i="8"/>
  <c r="J28" i="8"/>
  <c r="I28" i="8"/>
  <c r="H28" i="8"/>
  <c r="G28" i="8"/>
  <c r="F28" i="8"/>
  <c r="R27" i="8"/>
  <c r="R26" i="8"/>
  <c r="R25" i="8"/>
  <c r="R24" i="8"/>
  <c r="R23" i="8"/>
  <c r="R22" i="8"/>
  <c r="Q21" i="8"/>
  <c r="P21" i="8"/>
  <c r="O21" i="8"/>
  <c r="N21" i="8"/>
  <c r="M21" i="8"/>
  <c r="L21" i="8"/>
  <c r="K21" i="8"/>
  <c r="J21" i="8"/>
  <c r="I21" i="8"/>
  <c r="H21" i="8"/>
  <c r="G21" i="8"/>
  <c r="F21" i="8"/>
  <c r="R20" i="8"/>
  <c r="R21" i="8" s="1"/>
  <c r="Q19" i="8"/>
  <c r="P19" i="8"/>
  <c r="O19" i="8"/>
  <c r="N19" i="8"/>
  <c r="M19" i="8"/>
  <c r="L19" i="8"/>
  <c r="K19" i="8"/>
  <c r="J19" i="8"/>
  <c r="H19" i="8"/>
  <c r="G19" i="8"/>
  <c r="F19" i="8"/>
  <c r="I18" i="8"/>
  <c r="R18" i="8" s="1"/>
  <c r="I17" i="8"/>
  <c r="R17" i="8" s="1"/>
  <c r="R16" i="8"/>
  <c r="R15" i="8"/>
  <c r="R14" i="8"/>
  <c r="R13" i="8"/>
  <c r="R12" i="8"/>
  <c r="R11" i="8"/>
  <c r="R10" i="8"/>
  <c r="I9" i="8"/>
  <c r="R9" i="8" s="1"/>
  <c r="I8" i="8"/>
  <c r="Q7" i="8"/>
  <c r="P7" i="8"/>
  <c r="O7" i="8"/>
  <c r="N7" i="8"/>
  <c r="M7" i="8"/>
  <c r="L7" i="8"/>
  <c r="K7" i="8"/>
  <c r="J7" i="8"/>
  <c r="I7" i="8"/>
  <c r="H7" i="8"/>
  <c r="G7" i="8"/>
  <c r="F7" i="8"/>
  <c r="F31" i="8" s="1"/>
  <c r="R6" i="8"/>
  <c r="R5" i="8"/>
  <c r="U25" i="7"/>
  <c r="U26" i="7" s="1"/>
  <c r="R13" i="7" s="1"/>
  <c r="R12" i="7" s="1"/>
  <c r="T25" i="7"/>
  <c r="T26" i="7" s="1"/>
  <c r="Q13" i="7" s="1"/>
  <c r="Q12" i="7" s="1"/>
  <c r="S25" i="7"/>
  <c r="S26" i="7" s="1"/>
  <c r="P13" i="7" s="1"/>
  <c r="P12" i="7" s="1"/>
  <c r="R25" i="7"/>
  <c r="R26" i="7" s="1"/>
  <c r="O13" i="7" s="1"/>
  <c r="O12" i="7" s="1"/>
  <c r="Q25" i="7"/>
  <c r="Q26" i="7" s="1"/>
  <c r="N13" i="7" s="1"/>
  <c r="N12" i="7" s="1"/>
  <c r="P25" i="7"/>
  <c r="P26" i="7" s="1"/>
  <c r="M13" i="7" s="1"/>
  <c r="O25" i="7"/>
  <c r="O26" i="7" s="1"/>
  <c r="L13" i="7" s="1"/>
  <c r="L12" i="7" s="1"/>
  <c r="N25" i="7"/>
  <c r="N26" i="7" s="1"/>
  <c r="K13" i="7" s="1"/>
  <c r="K12" i="7" s="1"/>
  <c r="M25" i="7"/>
  <c r="M26" i="7" s="1"/>
  <c r="J13" i="7" s="1"/>
  <c r="J12" i="7" s="1"/>
  <c r="L25" i="7"/>
  <c r="L26" i="7" s="1"/>
  <c r="I13" i="7" s="1"/>
  <c r="I12" i="7" s="1"/>
  <c r="K25" i="7"/>
  <c r="K26" i="7" s="1"/>
  <c r="H13" i="7" s="1"/>
  <c r="H12" i="7" s="1"/>
  <c r="J25" i="7"/>
  <c r="J26" i="7" s="1"/>
  <c r="G13" i="7" s="1"/>
  <c r="I24" i="7"/>
  <c r="H24" i="7"/>
  <c r="G24" i="7" s="1"/>
  <c r="I23" i="7"/>
  <c r="H23" i="7"/>
  <c r="I22" i="7"/>
  <c r="H22" i="7"/>
  <c r="I21" i="7"/>
  <c r="H21" i="7"/>
  <c r="G21" i="7" s="1"/>
  <c r="I20" i="7"/>
  <c r="H20" i="7"/>
  <c r="G20" i="7" s="1"/>
  <c r="I19" i="7"/>
  <c r="H19" i="7"/>
  <c r="G19" i="7"/>
  <c r="I18" i="7"/>
  <c r="H18" i="7"/>
  <c r="I17" i="7"/>
  <c r="H17" i="7"/>
  <c r="G17" i="7" s="1"/>
  <c r="G47" i="8" l="1"/>
  <c r="P67" i="8"/>
  <c r="P69" i="8" s="1"/>
  <c r="G18" i="7"/>
  <c r="K69" i="8"/>
  <c r="R32" i="8"/>
  <c r="K47" i="8"/>
  <c r="R37" i="8"/>
  <c r="M47" i="8"/>
  <c r="I19" i="8"/>
  <c r="H47" i="8"/>
  <c r="R43" i="8"/>
  <c r="P31" i="8"/>
  <c r="P48" i="8" s="1"/>
  <c r="P49" i="8" s="1"/>
  <c r="R8" i="8"/>
  <c r="R19" i="8" s="1"/>
  <c r="G23" i="7"/>
  <c r="G22" i="7"/>
  <c r="I25" i="7"/>
  <c r="I26" i="7" s="1"/>
  <c r="H25" i="7"/>
  <c r="H26" i="7" s="1"/>
  <c r="L69" i="8"/>
  <c r="O69" i="8"/>
  <c r="I69" i="8"/>
  <c r="J69" i="8"/>
  <c r="R67" i="8"/>
  <c r="R68" i="8"/>
  <c r="Q31" i="8"/>
  <c r="Q48" i="8" s="1"/>
  <c r="Q49" i="8" s="1"/>
  <c r="K31" i="8"/>
  <c r="M31" i="8"/>
  <c r="L31" i="8"/>
  <c r="L48" i="8" s="1"/>
  <c r="L49" i="8" s="1"/>
  <c r="N31" i="8"/>
  <c r="N48" i="8" s="1"/>
  <c r="N49" i="8" s="1"/>
  <c r="O31" i="8"/>
  <c r="R28" i="8"/>
  <c r="J31" i="8"/>
  <c r="J48" i="8" s="1"/>
  <c r="J49" i="8" s="1"/>
  <c r="H31" i="8"/>
  <c r="H48" i="8" s="1"/>
  <c r="H49" i="8" s="1"/>
  <c r="G31" i="8"/>
  <c r="G48" i="8" s="1"/>
  <c r="G49" i="8"/>
  <c r="F48" i="8"/>
  <c r="F49" i="8"/>
  <c r="I31" i="8"/>
  <c r="R39" i="8"/>
  <c r="R35" i="8"/>
  <c r="O47" i="8"/>
  <c r="R7" i="8"/>
  <c r="H67" i="8"/>
  <c r="H69" i="8" s="1"/>
  <c r="R36" i="8"/>
  <c r="I47" i="8"/>
  <c r="E13" i="7"/>
  <c r="G12" i="7"/>
  <c r="E12" i="7" s="1"/>
  <c r="F13" i="7"/>
  <c r="M12" i="7"/>
  <c r="F12" i="7" s="1"/>
  <c r="H44" i="5"/>
  <c r="H39" i="5"/>
  <c r="G25" i="7" l="1"/>
  <c r="G26" i="7" s="1"/>
  <c r="R69" i="8"/>
  <c r="M48" i="8"/>
  <c r="M49" i="8" s="1"/>
  <c r="O48" i="8"/>
  <c r="O49" i="8" s="1"/>
  <c r="K48" i="8"/>
  <c r="K49" i="8" s="1"/>
  <c r="D13" i="7"/>
  <c r="D12" i="7"/>
  <c r="R31" i="8"/>
  <c r="R47" i="8"/>
  <c r="I48" i="8"/>
  <c r="I49" i="8" s="1"/>
  <c r="I18" i="5"/>
  <c r="I17" i="5"/>
  <c r="I9" i="5"/>
  <c r="I8" i="5"/>
  <c r="R48" i="8" l="1"/>
  <c r="R49" i="8"/>
  <c r="U25" i="6"/>
  <c r="U26" i="6" s="1"/>
  <c r="R13" i="6" s="1"/>
  <c r="R12" i="6" s="1"/>
  <c r="T25" i="6"/>
  <c r="T26" i="6" s="1"/>
  <c r="Q13" i="6" s="1"/>
  <c r="Q12" i="6" s="1"/>
  <c r="S25" i="6"/>
  <c r="S26" i="6" s="1"/>
  <c r="P13" i="6" s="1"/>
  <c r="P12" i="6" s="1"/>
  <c r="R25" i="6"/>
  <c r="R26" i="6" s="1"/>
  <c r="O13" i="6" s="1"/>
  <c r="O12" i="6" s="1"/>
  <c r="Q25" i="6"/>
  <c r="Q26" i="6" s="1"/>
  <c r="N13" i="6" s="1"/>
  <c r="N12" i="6" s="1"/>
  <c r="P25" i="6"/>
  <c r="P26" i="6" s="1"/>
  <c r="M13" i="6" s="1"/>
  <c r="O25" i="6"/>
  <c r="O26" i="6" s="1"/>
  <c r="L13" i="6" s="1"/>
  <c r="L12" i="6" s="1"/>
  <c r="N25" i="6"/>
  <c r="N26" i="6" s="1"/>
  <c r="K13" i="6" s="1"/>
  <c r="K12" i="6" s="1"/>
  <c r="M25" i="6"/>
  <c r="M26" i="6" s="1"/>
  <c r="J13" i="6" s="1"/>
  <c r="J12" i="6" s="1"/>
  <c r="L25" i="6"/>
  <c r="L26" i="6" s="1"/>
  <c r="I13" i="6" s="1"/>
  <c r="I12" i="6" s="1"/>
  <c r="K25" i="6"/>
  <c r="K26" i="6" s="1"/>
  <c r="H13" i="6" s="1"/>
  <c r="H12" i="6" s="1"/>
  <c r="J25" i="6"/>
  <c r="J26" i="6" s="1"/>
  <c r="G13" i="6" s="1"/>
  <c r="I24" i="6"/>
  <c r="H24" i="6"/>
  <c r="I23" i="6"/>
  <c r="H23" i="6"/>
  <c r="G23" i="6"/>
  <c r="I22" i="6"/>
  <c r="H22" i="6"/>
  <c r="I21" i="6"/>
  <c r="H21" i="6"/>
  <c r="I20" i="6"/>
  <c r="G20" i="6" s="1"/>
  <c r="H20" i="6"/>
  <c r="I19" i="6"/>
  <c r="G19" i="6" s="1"/>
  <c r="H19" i="6"/>
  <c r="I18" i="6"/>
  <c r="H18" i="6"/>
  <c r="I17" i="6"/>
  <c r="H17" i="6"/>
  <c r="H68" i="5"/>
  <c r="I68" i="5"/>
  <c r="J68" i="5"/>
  <c r="K68" i="5"/>
  <c r="L68" i="5"/>
  <c r="M68" i="5"/>
  <c r="N68" i="5"/>
  <c r="O68" i="5"/>
  <c r="P68" i="5"/>
  <c r="M64" i="5"/>
  <c r="P64" i="5"/>
  <c r="H64" i="5"/>
  <c r="G68" i="5"/>
  <c r="G18" i="6" l="1"/>
  <c r="G21" i="6"/>
  <c r="G24" i="6"/>
  <c r="G22" i="6"/>
  <c r="I25" i="6"/>
  <c r="I26" i="6" s="1"/>
  <c r="H25" i="6"/>
  <c r="H26" i="6" s="1"/>
  <c r="G17" i="6"/>
  <c r="E13" i="6"/>
  <c r="G12" i="6"/>
  <c r="E12" i="6" s="1"/>
  <c r="F13" i="6"/>
  <c r="M12" i="6"/>
  <c r="F12" i="6" s="1"/>
  <c r="G25" i="6" l="1"/>
  <c r="G26" i="6" s="1"/>
  <c r="D12" i="6"/>
  <c r="D13" i="6"/>
  <c r="O41" i="5" l="1"/>
  <c r="L36" i="5"/>
  <c r="M39" i="5"/>
  <c r="K39" i="5"/>
  <c r="P44" i="5"/>
  <c r="M44" i="5"/>
  <c r="N35" i="5"/>
  <c r="J35" i="5"/>
  <c r="N37" i="5"/>
  <c r="I37" i="5"/>
  <c r="J37" i="5"/>
  <c r="K37" i="5"/>
  <c r="L37" i="5"/>
  <c r="M37" i="5"/>
  <c r="H37" i="5"/>
  <c r="I34" i="5" l="1"/>
  <c r="H40" i="5"/>
  <c r="G34" i="5"/>
  <c r="G32" i="5"/>
  <c r="G47" i="5" l="1"/>
  <c r="H34" i="5"/>
  <c r="H47" i="5" s="1"/>
  <c r="Q68" i="5"/>
  <c r="F68" i="5"/>
  <c r="R68" i="5" s="1"/>
  <c r="Q67" i="5"/>
  <c r="Q69" i="5" s="1"/>
  <c r="P67" i="5"/>
  <c r="P69" i="5" s="1"/>
  <c r="O67" i="5"/>
  <c r="N67" i="5"/>
  <c r="M67" i="5"/>
  <c r="M69" i="5" s="1"/>
  <c r="L67" i="5"/>
  <c r="K67" i="5"/>
  <c r="J67" i="5"/>
  <c r="I67" i="5"/>
  <c r="I69" i="5" s="1"/>
  <c r="H67" i="5"/>
  <c r="H69" i="5" s="1"/>
  <c r="F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Q47" i="5"/>
  <c r="P47" i="5"/>
  <c r="J47" i="5"/>
  <c r="F47" i="5"/>
  <c r="R46" i="5"/>
  <c r="R45" i="5"/>
  <c r="R44" i="5"/>
  <c r="R43" i="5"/>
  <c r="P43" i="5"/>
  <c r="R42" i="5"/>
  <c r="O47" i="5"/>
  <c r="L41" i="5"/>
  <c r="L47" i="5" s="1"/>
  <c r="I41" i="5"/>
  <c r="I47" i="5" s="1"/>
  <c r="R40" i="5"/>
  <c r="R39" i="5"/>
  <c r="R38" i="5"/>
  <c r="M47" i="5"/>
  <c r="R37" i="5"/>
  <c r="N47" i="5"/>
  <c r="R36" i="5"/>
  <c r="R35" i="5"/>
  <c r="R33" i="5"/>
  <c r="R32" i="5"/>
  <c r="Q30" i="5"/>
  <c r="P30" i="5"/>
  <c r="O30" i="5"/>
  <c r="N30" i="5"/>
  <c r="M30" i="5"/>
  <c r="L30" i="5"/>
  <c r="K30" i="5"/>
  <c r="J30" i="5"/>
  <c r="I30" i="5"/>
  <c r="H30" i="5"/>
  <c r="G30" i="5"/>
  <c r="F30" i="5"/>
  <c r="R29" i="5"/>
  <c r="R30" i="5" s="1"/>
  <c r="Q28" i="5"/>
  <c r="P28" i="5"/>
  <c r="O28" i="5"/>
  <c r="N28" i="5"/>
  <c r="M28" i="5"/>
  <c r="L28" i="5"/>
  <c r="K28" i="5"/>
  <c r="J28" i="5"/>
  <c r="I28" i="5"/>
  <c r="H28" i="5"/>
  <c r="G28" i="5"/>
  <c r="F28" i="5"/>
  <c r="R27" i="5"/>
  <c r="R26" i="5"/>
  <c r="R25" i="5"/>
  <c r="R24" i="5"/>
  <c r="R23" i="5"/>
  <c r="R22" i="5"/>
  <c r="Q21" i="5"/>
  <c r="P21" i="5"/>
  <c r="O21" i="5"/>
  <c r="N21" i="5"/>
  <c r="M21" i="5"/>
  <c r="L21" i="5"/>
  <c r="K21" i="5"/>
  <c r="J21" i="5"/>
  <c r="I21" i="5"/>
  <c r="H21" i="5"/>
  <c r="G21" i="5"/>
  <c r="F21" i="5"/>
  <c r="R20" i="5"/>
  <c r="R21" i="5" s="1"/>
  <c r="Q19" i="5"/>
  <c r="P19" i="5"/>
  <c r="O19" i="5"/>
  <c r="N19" i="5"/>
  <c r="M19" i="5"/>
  <c r="L19" i="5"/>
  <c r="K19" i="5"/>
  <c r="J19" i="5"/>
  <c r="I19" i="5"/>
  <c r="H19" i="5"/>
  <c r="G19" i="5"/>
  <c r="F19" i="5"/>
  <c r="R18" i="5"/>
  <c r="R17" i="5"/>
  <c r="R16" i="5"/>
  <c r="R15" i="5"/>
  <c r="R14" i="5"/>
  <c r="R13" i="5"/>
  <c r="R12" i="5"/>
  <c r="R11" i="5"/>
  <c r="R10" i="5"/>
  <c r="R9" i="5"/>
  <c r="R8" i="5"/>
  <c r="Q7" i="5"/>
  <c r="P7" i="5"/>
  <c r="O7" i="5"/>
  <c r="N7" i="5"/>
  <c r="M7" i="5"/>
  <c r="L7" i="5"/>
  <c r="K7" i="5"/>
  <c r="J7" i="5"/>
  <c r="I7" i="5"/>
  <c r="H7" i="5"/>
  <c r="G7" i="5"/>
  <c r="G31" i="5" s="1"/>
  <c r="F7" i="5"/>
  <c r="R6" i="5"/>
  <c r="R5" i="5"/>
  <c r="F31" i="5" l="1"/>
  <c r="F49" i="5" s="1"/>
  <c r="R41" i="5"/>
  <c r="P31" i="5"/>
  <c r="P48" i="5" s="1"/>
  <c r="P49" i="5" s="1"/>
  <c r="L31" i="5"/>
  <c r="M31" i="5"/>
  <c r="Q31" i="5"/>
  <c r="Q48" i="5" s="1"/>
  <c r="Q49" i="5" s="1"/>
  <c r="K31" i="5"/>
  <c r="N31" i="5"/>
  <c r="N48" i="5" s="1"/>
  <c r="N49" i="5" s="1"/>
  <c r="R67" i="5"/>
  <c r="R69" i="5" s="1"/>
  <c r="F69" i="5"/>
  <c r="J31" i="5"/>
  <c r="J48" i="5" s="1"/>
  <c r="J49" i="5" s="1"/>
  <c r="O31" i="5"/>
  <c r="H31" i="5"/>
  <c r="H48" i="5" s="1"/>
  <c r="H49" i="5" s="1"/>
  <c r="R28" i="5"/>
  <c r="R19" i="5"/>
  <c r="I31" i="5"/>
  <c r="I48" i="5" s="1"/>
  <c r="I49" i="5" s="1"/>
  <c r="L69" i="5"/>
  <c r="O69" i="5"/>
  <c r="J69" i="5"/>
  <c r="K69" i="5"/>
  <c r="N69" i="5"/>
  <c r="O48" i="5"/>
  <c r="O49" i="5" s="1"/>
  <c r="L48" i="5"/>
  <c r="L49" i="5" s="1"/>
  <c r="M48" i="5"/>
  <c r="M49" i="5" s="1"/>
  <c r="R34" i="5"/>
  <c r="R47" i="5" s="1"/>
  <c r="G49" i="5"/>
  <c r="G48" i="5"/>
  <c r="R7" i="5"/>
  <c r="K47" i="5"/>
  <c r="K48" i="5" s="1"/>
  <c r="K49" i="5" s="1"/>
  <c r="F48" i="5"/>
  <c r="G67" i="5"/>
  <c r="G69" i="5" s="1"/>
  <c r="M68" i="2"/>
  <c r="L68" i="2"/>
  <c r="K68" i="2"/>
  <c r="J68" i="2"/>
  <c r="I68" i="2"/>
  <c r="R31" i="5" l="1"/>
  <c r="R48" i="5" s="1"/>
  <c r="G54" i="2"/>
  <c r="G68" i="2" s="1"/>
  <c r="G34" i="2"/>
  <c r="R49" i="5" l="1"/>
  <c r="R25" i="4"/>
  <c r="Q67" i="4"/>
  <c r="P67" i="4"/>
  <c r="O67" i="4"/>
  <c r="N67" i="4"/>
  <c r="M67" i="4"/>
  <c r="L67" i="4"/>
  <c r="K67" i="4"/>
  <c r="J67" i="4"/>
  <c r="I67" i="4"/>
  <c r="H67" i="4"/>
  <c r="Q66" i="4"/>
  <c r="P66" i="4"/>
  <c r="P68" i="4" s="1"/>
  <c r="O66" i="4"/>
  <c r="O68" i="4" s="1"/>
  <c r="N66" i="4"/>
  <c r="N68" i="4" s="1"/>
  <c r="M66" i="4"/>
  <c r="L66" i="4"/>
  <c r="K66" i="4"/>
  <c r="J66" i="4"/>
  <c r="I66" i="4"/>
  <c r="H66" i="4"/>
  <c r="H68" i="4" s="1"/>
  <c r="G66" i="4"/>
  <c r="G68" i="4" s="1"/>
  <c r="F66" i="4"/>
  <c r="F67" i="4" s="1"/>
  <c r="R65" i="4"/>
  <c r="R64" i="4"/>
  <c r="R63" i="4"/>
  <c r="R62" i="4"/>
  <c r="R61" i="4"/>
  <c r="R60" i="4"/>
  <c r="R59" i="4"/>
  <c r="R58" i="4"/>
  <c r="R57" i="4"/>
  <c r="R56" i="4"/>
  <c r="R55" i="4"/>
  <c r="R54" i="4"/>
  <c r="G53" i="4"/>
  <c r="G67" i="4" s="1"/>
  <c r="R52" i="4"/>
  <c r="Q46" i="4"/>
  <c r="H46" i="4"/>
  <c r="F46" i="4"/>
  <c r="R45" i="4"/>
  <c r="R44" i="4"/>
  <c r="R43" i="4"/>
  <c r="P42" i="4"/>
  <c r="R42" i="4" s="1"/>
  <c r="R41" i="4"/>
  <c r="O40" i="4"/>
  <c r="O46" i="4" s="1"/>
  <c r="L40" i="4"/>
  <c r="L46" i="4" s="1"/>
  <c r="I40" i="4"/>
  <c r="I46" i="4" s="1"/>
  <c r="G40" i="4"/>
  <c r="R39" i="4"/>
  <c r="M38" i="4"/>
  <c r="J38" i="4"/>
  <c r="G38" i="4"/>
  <c r="R37" i="4"/>
  <c r="M36" i="4"/>
  <c r="G36" i="4"/>
  <c r="N35" i="4"/>
  <c r="N46" i="4" s="1"/>
  <c r="M35" i="4"/>
  <c r="G35" i="4"/>
  <c r="M34" i="4"/>
  <c r="J34" i="4"/>
  <c r="G34" i="4"/>
  <c r="R34" i="4" s="1"/>
  <c r="K33" i="4"/>
  <c r="K46" i="4" s="1"/>
  <c r="G33" i="4"/>
  <c r="R32" i="4"/>
  <c r="R31" i="4"/>
  <c r="Q29" i="4"/>
  <c r="P29" i="4"/>
  <c r="O29" i="4"/>
  <c r="N29" i="4"/>
  <c r="M29" i="4"/>
  <c r="L29" i="4"/>
  <c r="K29" i="4"/>
  <c r="J29" i="4"/>
  <c r="I29" i="4"/>
  <c r="H29" i="4"/>
  <c r="G29" i="4"/>
  <c r="F29" i="4"/>
  <c r="R28" i="4"/>
  <c r="R29" i="4" s="1"/>
  <c r="Q27" i="4"/>
  <c r="P27" i="4"/>
  <c r="O27" i="4"/>
  <c r="N27" i="4"/>
  <c r="M27" i="4"/>
  <c r="L27" i="4"/>
  <c r="K27" i="4"/>
  <c r="J27" i="4"/>
  <c r="I27" i="4"/>
  <c r="H27" i="4"/>
  <c r="G27" i="4"/>
  <c r="F27" i="4"/>
  <c r="R26" i="4"/>
  <c r="R24" i="4"/>
  <c r="R23" i="4"/>
  <c r="R22" i="4"/>
  <c r="Q21" i="4"/>
  <c r="P21" i="4"/>
  <c r="O21" i="4"/>
  <c r="N21" i="4"/>
  <c r="M21" i="4"/>
  <c r="L21" i="4"/>
  <c r="K21" i="4"/>
  <c r="J21" i="4"/>
  <c r="I21" i="4"/>
  <c r="H21" i="4"/>
  <c r="G21" i="4"/>
  <c r="F21" i="4"/>
  <c r="R20" i="4"/>
  <c r="R21" i="4" s="1"/>
  <c r="Q19" i="4"/>
  <c r="P19" i="4"/>
  <c r="O19" i="4"/>
  <c r="N19" i="4"/>
  <c r="M19" i="4"/>
  <c r="L19" i="4"/>
  <c r="K19" i="4"/>
  <c r="J19" i="4"/>
  <c r="I19" i="4"/>
  <c r="H19" i="4"/>
  <c r="G19" i="4"/>
  <c r="F19" i="4"/>
  <c r="R18" i="4"/>
  <c r="R17" i="4"/>
  <c r="R16" i="4"/>
  <c r="R15" i="4"/>
  <c r="R14" i="4"/>
  <c r="R13" i="4"/>
  <c r="R12" i="4"/>
  <c r="R11" i="4"/>
  <c r="R10" i="4"/>
  <c r="R9" i="4"/>
  <c r="R8" i="4"/>
  <c r="Q7" i="4"/>
  <c r="P7" i="4"/>
  <c r="O7" i="4"/>
  <c r="N7" i="4"/>
  <c r="M7" i="4"/>
  <c r="L7" i="4"/>
  <c r="K7" i="4"/>
  <c r="J7" i="4"/>
  <c r="I7" i="4"/>
  <c r="H7" i="4"/>
  <c r="G7" i="4"/>
  <c r="F7" i="4"/>
  <c r="R6" i="4"/>
  <c r="R5" i="4"/>
  <c r="K68" i="4" l="1"/>
  <c r="R40" i="4"/>
  <c r="G30" i="4"/>
  <c r="M46" i="4"/>
  <c r="R35" i="4"/>
  <c r="I68" i="4"/>
  <c r="Q68" i="4"/>
  <c r="J68" i="4"/>
  <c r="F30" i="4"/>
  <c r="F47" i="4" s="1"/>
  <c r="G46" i="4"/>
  <c r="L30" i="4"/>
  <c r="L47" i="4" s="1"/>
  <c r="L48" i="4" s="1"/>
  <c r="R33" i="4"/>
  <c r="R36" i="4"/>
  <c r="J46" i="4"/>
  <c r="K30" i="4"/>
  <c r="K47" i="4" s="1"/>
  <c r="K48" i="4" s="1"/>
  <c r="R38" i="4"/>
  <c r="R46" i="4" s="1"/>
  <c r="M68" i="4"/>
  <c r="R19" i="4"/>
  <c r="I30" i="4"/>
  <c r="I47" i="4" s="1"/>
  <c r="I48" i="4" s="1"/>
  <c r="Q30" i="4"/>
  <c r="Q47" i="4" s="1"/>
  <c r="Q48" i="4" s="1"/>
  <c r="J30" i="4"/>
  <c r="O30" i="4"/>
  <c r="O47" i="4" s="1"/>
  <c r="O48" i="4" s="1"/>
  <c r="R27" i="4"/>
  <c r="M30" i="4"/>
  <c r="M47" i="4" s="1"/>
  <c r="M48" i="4" s="1"/>
  <c r="P30" i="4"/>
  <c r="P47" i="4" s="1"/>
  <c r="P48" i="4" s="1"/>
  <c r="N30" i="4"/>
  <c r="N47" i="4" s="1"/>
  <c r="N48" i="4" s="1"/>
  <c r="H30" i="4"/>
  <c r="H47" i="4" s="1"/>
  <c r="H48" i="4" s="1"/>
  <c r="F68" i="4"/>
  <c r="R67" i="4"/>
  <c r="L68" i="4"/>
  <c r="R53" i="4"/>
  <c r="R66" i="4" s="1"/>
  <c r="R7" i="4"/>
  <c r="P46" i="4"/>
  <c r="R54" i="2"/>
  <c r="H68" i="2"/>
  <c r="J67" i="2"/>
  <c r="I67" i="2"/>
  <c r="H67" i="2"/>
  <c r="G67" i="2"/>
  <c r="R55" i="2"/>
  <c r="R56" i="2"/>
  <c r="R57" i="2"/>
  <c r="R58" i="2"/>
  <c r="R59" i="2"/>
  <c r="R60" i="2"/>
  <c r="R61" i="2"/>
  <c r="R62" i="2"/>
  <c r="R63" i="2"/>
  <c r="R64" i="2"/>
  <c r="R65" i="2"/>
  <c r="R66" i="2"/>
  <c r="P43" i="2"/>
  <c r="R43" i="2" s="1"/>
  <c r="O41" i="2"/>
  <c r="L41" i="2"/>
  <c r="I41" i="2"/>
  <c r="I47" i="2" s="1"/>
  <c r="G41" i="2"/>
  <c r="M39" i="2"/>
  <c r="J39" i="2"/>
  <c r="G39" i="2"/>
  <c r="M37" i="2"/>
  <c r="G37" i="2"/>
  <c r="N36" i="2"/>
  <c r="N47" i="2" s="1"/>
  <c r="M36" i="2"/>
  <c r="G36" i="2"/>
  <c r="M35" i="2"/>
  <c r="J35" i="2"/>
  <c r="J47" i="2" s="1"/>
  <c r="G35" i="2"/>
  <c r="R35" i="2" s="1"/>
  <c r="K34" i="2"/>
  <c r="K47" i="2" s="1"/>
  <c r="R33" i="2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J25" i="3"/>
  <c r="J26" i="3" s="1"/>
  <c r="G13" i="3" s="1"/>
  <c r="K25" i="3"/>
  <c r="K26" i="3" s="1"/>
  <c r="H13" i="3" s="1"/>
  <c r="H12" i="3" s="1"/>
  <c r="L25" i="3"/>
  <c r="L26" i="3" s="1"/>
  <c r="I13" i="3" s="1"/>
  <c r="I12" i="3" s="1"/>
  <c r="M25" i="3"/>
  <c r="M26" i="3" s="1"/>
  <c r="J13" i="3" s="1"/>
  <c r="J12" i="3" s="1"/>
  <c r="N25" i="3"/>
  <c r="N26" i="3" s="1"/>
  <c r="K13" i="3" s="1"/>
  <c r="K12" i="3" s="1"/>
  <c r="O25" i="3"/>
  <c r="O26" i="3" s="1"/>
  <c r="L13" i="3" s="1"/>
  <c r="L12" i="3" s="1"/>
  <c r="P25" i="3"/>
  <c r="P26" i="3" s="1"/>
  <c r="M13" i="3" s="1"/>
  <c r="Q25" i="3"/>
  <c r="Q26" i="3" s="1"/>
  <c r="N13" i="3" s="1"/>
  <c r="N12" i="3" s="1"/>
  <c r="R25" i="3"/>
  <c r="R26" i="3" s="1"/>
  <c r="O13" i="3" s="1"/>
  <c r="O12" i="3" s="1"/>
  <c r="S25" i="3"/>
  <c r="S26" i="3" s="1"/>
  <c r="P13" i="3" s="1"/>
  <c r="P12" i="3" s="1"/>
  <c r="T25" i="3"/>
  <c r="T26" i="3" s="1"/>
  <c r="Q13" i="3" s="1"/>
  <c r="Q12" i="3" s="1"/>
  <c r="U25" i="3"/>
  <c r="U26" i="3" s="1"/>
  <c r="R13" i="3" s="1"/>
  <c r="R12" i="3" s="1"/>
  <c r="R5" i="2"/>
  <c r="R6" i="2"/>
  <c r="F7" i="2"/>
  <c r="G7" i="2"/>
  <c r="H7" i="2"/>
  <c r="I7" i="2"/>
  <c r="J7" i="2"/>
  <c r="K7" i="2"/>
  <c r="L7" i="2"/>
  <c r="M7" i="2"/>
  <c r="N7" i="2"/>
  <c r="O7" i="2"/>
  <c r="P7" i="2"/>
  <c r="Q7" i="2"/>
  <c r="R8" i="2"/>
  <c r="R9" i="2"/>
  <c r="R10" i="2"/>
  <c r="R11" i="2"/>
  <c r="R12" i="2"/>
  <c r="R13" i="2"/>
  <c r="R14" i="2"/>
  <c r="R15" i="2"/>
  <c r="R16" i="2"/>
  <c r="R17" i="2"/>
  <c r="R18" i="2"/>
  <c r="F19" i="2"/>
  <c r="G19" i="2"/>
  <c r="H19" i="2"/>
  <c r="I19" i="2"/>
  <c r="J19" i="2"/>
  <c r="K19" i="2"/>
  <c r="L19" i="2"/>
  <c r="M19" i="2"/>
  <c r="N19" i="2"/>
  <c r="O19" i="2"/>
  <c r="P19" i="2"/>
  <c r="Q19" i="2"/>
  <c r="R20" i="2"/>
  <c r="R21" i="2" s="1"/>
  <c r="F21" i="2"/>
  <c r="G21" i="2"/>
  <c r="H21" i="2"/>
  <c r="I21" i="2"/>
  <c r="J21" i="2"/>
  <c r="K21" i="2"/>
  <c r="L21" i="2"/>
  <c r="M21" i="2"/>
  <c r="N21" i="2"/>
  <c r="O21" i="2"/>
  <c r="P21" i="2"/>
  <c r="Q21" i="2"/>
  <c r="R22" i="2"/>
  <c r="R23" i="2"/>
  <c r="R24" i="2"/>
  <c r="R25" i="2"/>
  <c r="R26" i="2"/>
  <c r="R27" i="2"/>
  <c r="F28" i="2"/>
  <c r="G28" i="2"/>
  <c r="H28" i="2"/>
  <c r="I28" i="2"/>
  <c r="J28" i="2"/>
  <c r="K28" i="2"/>
  <c r="L28" i="2"/>
  <c r="M28" i="2"/>
  <c r="N28" i="2"/>
  <c r="O28" i="2"/>
  <c r="P28" i="2"/>
  <c r="Q28" i="2"/>
  <c r="R29" i="2"/>
  <c r="R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2" i="2"/>
  <c r="R38" i="2"/>
  <c r="R40" i="2"/>
  <c r="R42" i="2"/>
  <c r="R44" i="2"/>
  <c r="R45" i="2"/>
  <c r="R46" i="2"/>
  <c r="F47" i="2"/>
  <c r="Q47" i="2"/>
  <c r="R53" i="2"/>
  <c r="F67" i="2"/>
  <c r="K67" i="2"/>
  <c r="L67" i="2"/>
  <c r="N67" i="2"/>
  <c r="P67" i="2"/>
  <c r="Q67" i="2"/>
  <c r="F68" i="2"/>
  <c r="N68" i="2"/>
  <c r="P68" i="2"/>
  <c r="Q68" i="2"/>
  <c r="R39" i="2" l="1"/>
  <c r="G23" i="3"/>
  <c r="G47" i="4"/>
  <c r="G48" i="4"/>
  <c r="M47" i="2"/>
  <c r="R41" i="2"/>
  <c r="G19" i="3"/>
  <c r="F48" i="4"/>
  <c r="J47" i="4"/>
  <c r="J48" i="4" s="1"/>
  <c r="R30" i="4"/>
  <c r="R48" i="4" s="1"/>
  <c r="R68" i="4"/>
  <c r="G69" i="2"/>
  <c r="G17" i="3"/>
  <c r="G24" i="3"/>
  <c r="G20" i="3"/>
  <c r="G22" i="3"/>
  <c r="H25" i="3"/>
  <c r="H26" i="3" s="1"/>
  <c r="L47" i="2"/>
  <c r="R37" i="2"/>
  <c r="P69" i="2"/>
  <c r="F31" i="2"/>
  <c r="F49" i="2" s="1"/>
  <c r="O67" i="2"/>
  <c r="F69" i="2"/>
  <c r="O47" i="2"/>
  <c r="G31" i="2"/>
  <c r="G47" i="2"/>
  <c r="Q31" i="2"/>
  <c r="Q48" i="2" s="1"/>
  <c r="Q49" i="2" s="1"/>
  <c r="N69" i="2"/>
  <c r="H47" i="2"/>
  <c r="K69" i="2"/>
  <c r="I69" i="2"/>
  <c r="R28" i="2"/>
  <c r="O31" i="2"/>
  <c r="P31" i="2"/>
  <c r="H31" i="2"/>
  <c r="M31" i="2"/>
  <c r="M48" i="2" s="1"/>
  <c r="M49" i="2" s="1"/>
  <c r="R36" i="2"/>
  <c r="H69" i="2"/>
  <c r="P47" i="2"/>
  <c r="Q69" i="2"/>
  <c r="L69" i="2"/>
  <c r="R34" i="2"/>
  <c r="J69" i="2"/>
  <c r="K31" i="2"/>
  <c r="K48" i="2" s="1"/>
  <c r="K49" i="2" s="1"/>
  <c r="L31" i="2"/>
  <c r="J31" i="2"/>
  <c r="J48" i="2" s="1"/>
  <c r="J49" i="2" s="1"/>
  <c r="R19" i="2"/>
  <c r="N31" i="2"/>
  <c r="N48" i="2" s="1"/>
  <c r="N49" i="2" s="1"/>
  <c r="I31" i="2"/>
  <c r="I48" i="2" s="1"/>
  <c r="I49" i="2" s="1"/>
  <c r="R7" i="2"/>
  <c r="F13" i="3"/>
  <c r="M12" i="3"/>
  <c r="F12" i="3" s="1"/>
  <c r="I25" i="3"/>
  <c r="I26" i="3" s="1"/>
  <c r="G21" i="3"/>
  <c r="G12" i="3"/>
  <c r="E12" i="3" s="1"/>
  <c r="E13" i="3"/>
  <c r="G18" i="3"/>
  <c r="M67" i="2"/>
  <c r="M69" i="2" s="1"/>
  <c r="O68" i="2"/>
  <c r="R47" i="4" l="1"/>
  <c r="G25" i="3"/>
  <c r="G26" i="3" s="1"/>
  <c r="D12" i="3"/>
  <c r="L48" i="2"/>
  <c r="L49" i="2" s="1"/>
  <c r="F48" i="2"/>
  <c r="O69" i="2"/>
  <c r="R67" i="2"/>
  <c r="G48" i="2"/>
  <c r="G49" i="2"/>
  <c r="O48" i="2"/>
  <c r="O49" i="2" s="1"/>
  <c r="R47" i="2"/>
  <c r="H48" i="2"/>
  <c r="H49" i="2" s="1"/>
  <c r="P48" i="2"/>
  <c r="P49" i="2" s="1"/>
  <c r="R31" i="2"/>
  <c r="D13" i="3"/>
  <c r="R68" i="2"/>
  <c r="R69" i="2" l="1"/>
  <c r="R48" i="2"/>
  <c r="R49" i="2"/>
  <c r="N73" i="14" l="1"/>
  <c r="R73" i="14" s="1"/>
  <c r="R61" i="14"/>
  <c r="R72" i="14" s="1"/>
  <c r="N72" i="14"/>
  <c r="N40" i="14"/>
  <c r="N51" i="14" s="1"/>
  <c r="N74" i="14" l="1"/>
  <c r="R74" i="14"/>
  <c r="N52" i="14"/>
  <c r="N53" i="14" s="1"/>
  <c r="R40" i="14"/>
  <c r="R51" i="14" s="1"/>
  <c r="R52" i="14" l="1"/>
  <c r="S53" i="14" s="1"/>
  <c r="R5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Bellcom</author>
    <author>Bellcomm</author>
  </authors>
  <commentList>
    <comment ref="J3" authorId="0" shapeId="0" xr:uid="{E68252B6-F20F-42EA-8B8A-DD53DE73991C}">
      <text>
        <r>
          <rPr>
            <b/>
            <sz val="10"/>
            <color indexed="81"/>
            <rFont val="Tahoma"/>
            <family val="2"/>
          </rPr>
          <t>5</t>
        </r>
        <r>
          <rPr>
            <b/>
            <sz val="10"/>
            <color indexed="81"/>
            <rFont val="돋움"/>
            <family val="3"/>
            <charset val="129"/>
          </rPr>
          <t>월까지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정산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및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청구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완료</t>
        </r>
      </text>
    </comment>
    <comment ref="H5" authorId="0" shapeId="0" xr:uid="{13987069-8D00-4BD8-9657-9F86475DB2BA}">
      <text>
        <r>
          <rPr>
            <b/>
            <sz val="10"/>
            <color indexed="81"/>
            <rFont val="돋움"/>
            <family val="3"/>
            <charset val="129"/>
          </rPr>
          <t>부킹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완료</t>
        </r>
        <r>
          <rPr>
            <b/>
            <sz val="10"/>
            <color indexed="81"/>
            <rFont val="Tahoma"/>
            <family val="2"/>
          </rPr>
          <t xml:space="preserve"> </t>
        </r>
      </text>
    </comment>
    <comment ref="L6" authorId="0" shapeId="0" xr:uid="{F87FF2AA-CFFE-4F8F-B6E7-6965D51D8BA2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이월해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6CFFE2FB-E7CF-4801-A0DC-C1F0E66E3BF8}">
      <text>
        <r>
          <rPr>
            <b/>
            <sz val="10"/>
            <color indexed="81"/>
            <rFont val="Tahoma"/>
            <family val="2"/>
          </rPr>
          <t>6,7</t>
        </r>
        <r>
          <rPr>
            <b/>
            <sz val="10"/>
            <color indexed="81"/>
            <rFont val="돋움"/>
            <family val="3"/>
            <charset val="129"/>
          </rPr>
          <t>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각</t>
        </r>
        <r>
          <rPr>
            <b/>
            <sz val="10"/>
            <color indexed="81"/>
            <rFont val="Tahoma"/>
            <family val="2"/>
          </rPr>
          <t xml:space="preserve"> 1</t>
        </r>
        <r>
          <rPr>
            <b/>
            <sz val="10"/>
            <color indexed="81"/>
            <rFont val="돋움"/>
            <family val="3"/>
            <charset val="129"/>
          </rPr>
          <t>천만원씩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1" shapeId="0" xr:uid="{114F65EE-75DB-4693-A7C6-2132BCFDE724}">
      <text>
        <r>
          <rPr>
            <b/>
            <sz val="10"/>
            <color indexed="81"/>
            <rFont val="Tahoma"/>
            <family val="2"/>
          </rPr>
          <t>Bellcomm: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유튜브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선정산</t>
        </r>
      </text>
    </comment>
    <comment ref="N9" authorId="0" shapeId="0" xr:uid="{1123B769-AF22-474F-935C-7D04DD2EEC13}">
      <text>
        <r>
          <rPr>
            <b/>
            <sz val="10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</t>
        </r>
      </text>
    </comment>
    <comment ref="M18" authorId="0" shapeId="0" xr:uid="{F80F5EB5-28C3-4E64-85E5-63B5519B9F2B}">
      <text>
        <r>
          <rPr>
            <b/>
            <sz val="10"/>
            <color indexed="81"/>
            <rFont val="Tahoma"/>
            <family val="2"/>
          </rPr>
          <t>31</t>
        </r>
        <r>
          <rPr>
            <b/>
            <sz val="10"/>
            <color indexed="81"/>
            <rFont val="돋움"/>
            <family val="3"/>
            <charset val="129"/>
          </rPr>
          <t>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기준</t>
        </r>
      </text>
    </comment>
    <comment ref="L19" authorId="0" shapeId="0" xr:uid="{56E3A602-E066-480F-A467-310B93A4EE21}">
      <text>
        <r>
          <rPr>
            <b/>
            <sz val="9"/>
            <color indexed="81"/>
            <rFont val="Tahoma"/>
            <family val="2"/>
          </rPr>
          <t>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/ 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</text>
    </comment>
    <comment ref="M19" authorId="0" shapeId="0" xr:uid="{E8D80D12-B0CC-400B-ABD6-E9D32DE481EA}">
      <text>
        <r>
          <rPr>
            <b/>
            <sz val="10"/>
            <color indexed="81"/>
            <rFont val="돋움"/>
            <family val="3"/>
            <charset val="129"/>
          </rPr>
          <t>31일 기준</t>
        </r>
      </text>
    </comment>
    <comment ref="L27" authorId="0" shapeId="0" xr:uid="{3D3BE324-DB82-452C-8476-BBA65336A3B3}">
      <text>
        <r>
          <rPr>
            <b/>
            <sz val="9"/>
            <color indexed="81"/>
            <rFont val="Tahoma"/>
            <family val="2"/>
          </rPr>
          <t>5,6,7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E497A6BE-D033-4F31-A36A-0C2ED38F4F8E}">
      <text>
        <r>
          <rPr>
            <b/>
            <sz val="9"/>
            <color indexed="81"/>
            <rFont val="Tahoma"/>
            <family val="2"/>
          </rPr>
          <t>5,6,7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" authorId="0" shapeId="0" xr:uid="{EEB3349D-B752-4A0E-A8DD-EE470AB67A12}">
      <text>
        <r>
          <rPr>
            <b/>
            <sz val="10"/>
            <color indexed="81"/>
            <rFont val="돋움"/>
            <family val="3"/>
            <charset val="129"/>
          </rPr>
          <t>인터뷰영상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추가</t>
        </r>
        <r>
          <rPr>
            <b/>
            <sz val="10"/>
            <color indexed="81"/>
            <rFont val="Tahoma"/>
            <family val="2"/>
          </rPr>
          <t xml:space="preserve"> </t>
        </r>
      </text>
    </comment>
    <comment ref="M41" authorId="0" shapeId="0" xr:uid="{59141E2E-C519-4C76-9C35-C900D193277C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구매평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리뷰</t>
        </r>
        <r>
          <rPr>
            <sz val="10"/>
            <color indexed="81"/>
            <rFont val="Tahoma"/>
            <family val="2"/>
          </rPr>
          <t xml:space="preserve"> / </t>
        </r>
        <r>
          <rPr>
            <sz val="10"/>
            <color indexed="81"/>
            <rFont val="돋움"/>
            <family val="3"/>
            <charset val="129"/>
          </rPr>
          <t>레뷰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체험단</t>
        </r>
        <r>
          <rPr>
            <sz val="10"/>
            <color indexed="81"/>
            <rFont val="Tahoma"/>
            <family val="2"/>
          </rPr>
          <t xml:space="preserve"> </t>
        </r>
      </text>
    </comment>
    <comment ref="L44" authorId="0" shapeId="0" xr:uid="{4617568B-CB1F-4DB3-BCD8-974308C3530A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선정산</t>
        </r>
      </text>
    </comment>
    <comment ref="M44" authorId="0" shapeId="0" xr:uid="{29E8D38A-AC3A-4269-8835-3E9B9747ADAE}">
      <text>
        <r>
          <rPr>
            <b/>
            <sz val="10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샘플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</t>
        </r>
        <r>
          <rPr>
            <sz val="10"/>
            <color indexed="81"/>
            <rFont val="Tahoma"/>
            <family val="2"/>
          </rPr>
          <t xml:space="preserve"> (</t>
        </r>
        <r>
          <rPr>
            <sz val="10"/>
            <color indexed="81"/>
            <rFont val="돋움"/>
            <family val="3"/>
            <charset val="129"/>
          </rPr>
          <t>수수료</t>
        </r>
        <r>
          <rPr>
            <sz val="10"/>
            <color indexed="81"/>
            <rFont val="Tahoma"/>
            <family val="2"/>
          </rPr>
          <t xml:space="preserve"> 4% </t>
        </r>
        <r>
          <rPr>
            <sz val="10"/>
            <color indexed="81"/>
            <rFont val="돋움"/>
            <family val="3"/>
            <charset val="129"/>
          </rPr>
          <t>적용</t>
        </r>
        <r>
          <rPr>
            <sz val="10"/>
            <color indexed="81"/>
            <rFont val="Tahoma"/>
            <family val="2"/>
          </rPr>
          <t>)</t>
        </r>
      </text>
    </comment>
    <comment ref="M46" authorId="0" shapeId="0" xr:uid="{57093BD8-3AF4-4849-8FB0-8D97D28C088D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쎄니들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샘플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배송비</t>
        </r>
      </text>
    </comment>
    <comment ref="N61" authorId="0" shapeId="0" xr:uid="{8CB97B9D-F617-4DD5-A827-8D7058D25F51}">
      <text>
        <r>
          <rPr>
            <b/>
            <sz val="10"/>
            <color indexed="81"/>
            <rFont val="돋움"/>
            <family val="3"/>
            <charset val="129"/>
          </rPr>
          <t>예비비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2" authorId="0" shapeId="0" xr:uid="{FF23168D-42A6-4D9C-8BF8-7D8E666099A6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쎄니들</t>
        </r>
      </text>
    </comment>
    <comment ref="L65" authorId="0" shapeId="0" xr:uid="{57E91313-4311-4ED2-8B1F-59A03CBF6E32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선정산</t>
        </r>
      </text>
    </comment>
    <comment ref="M65" authorId="0" shapeId="0" xr:uid="{4DDEF6ED-4F48-4199-8082-E734F4FAF909}">
      <text>
        <r>
          <rPr>
            <b/>
            <sz val="10"/>
            <color indexed="81"/>
            <rFont val="Tahoma"/>
            <family val="2"/>
          </rPr>
          <t>Bellcom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샘플비용</t>
        </r>
      </text>
    </comment>
    <comment ref="M67" authorId="0" shapeId="0" xr:uid="{15D08C5B-EE15-4B82-BCFC-EAD41A5367CE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쎄니들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샘플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A6D22D72-3274-4E86-995D-AC21D0A231E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93366A05-B894-4F6A-AC71-DEFABC8BCA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0C6A0002-4624-4226-B0DC-3B93A650BBC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6458A28A-1021-4AEF-A2EF-905B097EC71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A68C83F5-BD45-43A7-A4FA-9C1393F1AD7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4D7AC77F-8397-4488-9A13-FDC89367DBF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2BA113D6-D11E-4697-989C-A0970B5783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32831E4A-0577-43FE-8C96-8D66E662612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ADAA0CD-BDBE-4D63-A880-71DFB8506F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65A9E38D-E618-4D25-BF91-746969D26A2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9C5F6E7E-A398-4C81-9514-92D5684E125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0C23AA86-F37E-48AF-BABE-1B78CC9F02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E8A5EE32-0C7D-4896-9610-11809F4979D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EFA2A109-AC9B-4B03-87F4-EBC349CA21F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B222F59-500C-4DA1-AD42-B6EC7FCD4EF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52FE5D6-658E-49D1-A2AB-64F28B81FDA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C23BA4A6-8DF9-4340-B3E9-53F1A4D6EB3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G39" authorId="0" shapeId="0" xr:uid="{8878896A-D3FF-45BB-970B-1D31FC187C3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5D048D34-F845-4B1B-9DA8-2EA1F7480F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02024785-528A-48ED-A96A-7D5F0A4154C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6C9C2F6B-1EBA-47B6-ABFD-BBC793F91F2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6B6D9F47-629E-43D8-9A2F-02EBEE939FC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2A1732E-BFFF-4610-8BFC-6379461D770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6E406B83-B013-46DB-BD18-A52ACED176A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C0AD7943-2B57-45AB-B8C7-9DB7C90B77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12"/>
            <color indexed="81"/>
            <rFont val="돋움"/>
            <family val="3"/>
            <charset val="129"/>
          </rPr>
          <t>약국소재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베리에이션</t>
        </r>
        <r>
          <rPr>
            <sz val="12"/>
            <color indexed="81"/>
            <rFont val="Tahoma"/>
            <family val="2"/>
          </rPr>
          <t xml:space="preserve"> 300,000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출력물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제작</t>
        </r>
        <r>
          <rPr>
            <sz val="12"/>
            <color indexed="81"/>
            <rFont val="Tahoma"/>
            <family val="2"/>
          </rPr>
          <t xml:space="preserve"> 50</t>
        </r>
        <r>
          <rPr>
            <sz val="12"/>
            <color indexed="81"/>
            <rFont val="돋움"/>
            <family val="3"/>
            <charset val="129"/>
          </rPr>
          <t>만원</t>
        </r>
      </text>
    </comment>
    <comment ref="L42" authorId="0" shapeId="0" xr:uid="{4887FEBD-A9AB-4C16-A1D6-15CA95079A6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10276868-C524-45A2-8A64-2A15AA1BC2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29A7CF8A-4189-4178-909F-84F6420C8EE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8DF8288E-F24D-469B-B19B-D83386C2849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B5C7BEF4-5407-49C2-AFFF-311C88F706D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E29013EB-B973-4A87-9A15-38DE13E6E08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5308A165-98A5-4224-99BC-2F744A8D208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029595C-D6D8-4B38-8847-2598B35C625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K26" authorId="0" shapeId="0" xr:uid="{743D32B4-C497-4F27-9833-8D382E5634A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75D86597-1258-4CCE-A8C3-EFBC162BB5F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99DB1E72-E234-4852-B2E9-96428E82F06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4AA50D83-82F8-4555-B869-2DC5ABBFC6F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EC42C54-DF6C-4A86-94B5-BD239D9224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A01AE2EC-F159-4826-86B3-267AD7ED8F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3E9B0B37-670E-4FD1-A4AB-D24E46A20F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94789A47-628D-4A8F-ADB1-2D7F35D9E4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57003D76-60A6-4851-9DFD-63A42DC7D8E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A517551-7A7C-4E16-BC5A-132BD66FC9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O37" authorId="0" shapeId="0" xr:uid="{C856CFBC-9063-4563-858F-E47D77CE91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9" authorId="0" shapeId="0" xr:uid="{B18B52B8-77AC-467F-A3A6-FAE91E681B5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I41" authorId="0" shapeId="0" xr:uid="{A7AA170F-F0FB-4001-994B-1EDF5F37B04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E23E034C-5AF6-4843-B7EA-D60E7D3DB90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2EC3BE45-1CF6-440A-9FDA-08BD472A97F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M42" authorId="0" shapeId="0" xr:uid="{725F3997-F039-47CA-A726-172D679F5EB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G34" authorId="0" shapeId="0" xr:uid="{C8F61FCC-D3F4-4C39-BE74-E18BA99D02D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B7E1C263-0284-47DF-85B3-BCACC826B8F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00E691D-EBF6-43A8-8EA1-9098DE4D3F6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G39" authorId="0" shapeId="0" xr:uid="{ED21AD19-3755-46F6-9D19-62D21B71011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D8AAE9CC-9291-435E-A3DC-97C6333F0DE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1D2EA375-DD31-4024-BF1F-F847CB691A5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941E5EFF-7FF9-4A8D-8507-39D6A5B165E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8AF4AB6-2122-4326-8A95-02C2D667598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049A6E84-05E8-4A70-B5D4-533C893911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843FF3CE-10F3-405F-9F9D-D21A893A071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B8E8347D-D98C-47A9-AC19-265009DDCD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F39F03F1-419A-4D9A-8761-8BD3CD4938F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3A942F3-70DC-44BC-9F86-F793F8DC94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D01B8C17-9A8A-4C4C-8358-18E84CB877B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3E625DDB-CA44-4BB6-B759-7BE7F9CCB3A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F6898125-9DFA-43E2-8783-EAF4C90249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A8004EB5-0F24-4FF1-A9C7-A550B92B02D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A63751AF-D325-4C25-9E22-EBC8E8DC2B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6123A1B-61DB-4214-87CA-0BF6167D42F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718B784E-DBF2-40D4-A30E-DF8028198C3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35ADF960-3B99-4F56-8F35-9853BB1A98C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37" authorId="0" shapeId="0" xr:uid="{2BEEEBFA-0A49-4434-9BA5-B11DB822FD4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)
35295-&gt;30000
</t>
        </r>
      </text>
    </comment>
    <comment ref="G39" authorId="0" shapeId="0" xr:uid="{0130EC5E-69DB-41CD-AF2F-F8B8690C94A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FAD1B13F-E7E5-4931-BA4D-1581E091129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7F6772A5-2D89-4888-9E2D-55BE25978C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59E06787-16A2-4932-999F-E8D76A90FDC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DB0E20C2-6D24-40A4-B095-4A8B944890C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EE58087-9D73-43A1-94CA-8CED44664B4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7804574C-7BA4-4285-B789-F6065BD3C7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4AB4EAC7-EA03-4F6E-9C01-1BA09F3F680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L42" authorId="0" shapeId="0" xr:uid="{358AA44C-BFCF-4C79-96D2-454396C800C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77645B24-D6D9-48B5-8370-E5616C69F46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C55E9EC8-D7B9-4D84-B3BF-08E89568853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724DBD72-E3F9-4935-9E4E-FB48D730E54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sharedStrings.xml><?xml version="1.0" encoding="utf-8"?>
<sst xmlns="http://schemas.openxmlformats.org/spreadsheetml/2006/main" count="1440" uniqueCount="207">
  <si>
    <t>제작 + 대행수수료 합계</t>
    <phoneticPr fontId="3" type="noConversion"/>
  </si>
  <si>
    <t xml:space="preserve">대행수수료 </t>
    <phoneticPr fontId="3" type="noConversion"/>
  </si>
  <si>
    <t xml:space="preserve">제작 TOTAL </t>
    <phoneticPr fontId="3" type="noConversion"/>
  </si>
  <si>
    <t>배송비(바이럴)</t>
    <phoneticPr fontId="3" type="noConversion"/>
  </si>
  <si>
    <t>방송광고심의</t>
    <phoneticPr fontId="3" type="noConversion"/>
  </si>
  <si>
    <t>심의비</t>
    <phoneticPr fontId="3" type="noConversion"/>
  </si>
  <si>
    <t xml:space="preserve">시장 및 광고효과조사 </t>
    <phoneticPr fontId="3" type="noConversion"/>
  </si>
  <si>
    <t>조사</t>
    <phoneticPr fontId="3" type="noConversion"/>
  </si>
  <si>
    <t>기타</t>
    <phoneticPr fontId="3" type="noConversion"/>
  </si>
  <si>
    <t>옥외 출력비</t>
    <phoneticPr fontId="3" type="noConversion"/>
  </si>
  <si>
    <t>출력비</t>
    <phoneticPr fontId="3" type="noConversion"/>
  </si>
  <si>
    <t>약국 POP 및 기타 제작</t>
    <phoneticPr fontId="3" type="noConversion"/>
  </si>
  <si>
    <t>소재</t>
    <phoneticPr fontId="3" type="noConversion"/>
  </si>
  <si>
    <t>옥외/POP</t>
    <phoneticPr fontId="3" type="noConversion"/>
  </si>
  <si>
    <t>라디오</t>
    <phoneticPr fontId="3" type="noConversion"/>
  </si>
  <si>
    <t>벤포벨 사이트 서버비</t>
    <phoneticPr fontId="3" type="noConversion"/>
  </si>
  <si>
    <t>서버 유지비</t>
    <phoneticPr fontId="3" type="noConversion"/>
  </si>
  <si>
    <t>제작</t>
    <phoneticPr fontId="3" type="noConversion"/>
  </si>
  <si>
    <t>온라인 배너 제작</t>
    <phoneticPr fontId="3" type="noConversion"/>
  </si>
  <si>
    <t>마이크로사이트 수정 제작</t>
    <phoneticPr fontId="3" type="noConversion"/>
  </si>
  <si>
    <t>바이럴</t>
    <phoneticPr fontId="3" type="noConversion"/>
  </si>
  <si>
    <t>온라인</t>
    <phoneticPr fontId="3" type="noConversion"/>
  </si>
  <si>
    <t>모델료</t>
    <phoneticPr fontId="3" type="noConversion"/>
  </si>
  <si>
    <t>모델</t>
    <phoneticPr fontId="3" type="noConversion"/>
  </si>
  <si>
    <t>TV</t>
    <phoneticPr fontId="3" type="noConversion"/>
  </si>
  <si>
    <t>*참고 : 제작비 수수료 별도</t>
    <phoneticPr fontId="3" type="noConversion"/>
  </si>
  <si>
    <t>* 제작비는 17.65%의 대행수수료가 부과됩니다.
* 위 견적은 실제 제작 상황에 따라 변동 가능합니다. 
* 22년 모델비는 단순연장계약으로 모델수수료 미청구 / 23년 모델비는 신규 소재 제작으로 모델수수료 10% 청구</t>
    <phoneticPr fontId="3" type="noConversion"/>
  </si>
  <si>
    <t>총   계 (부가세 별도)</t>
    <phoneticPr fontId="3" type="noConversion"/>
  </si>
  <si>
    <t>매체 + 제작 합계</t>
    <phoneticPr fontId="3" type="noConversion"/>
  </si>
  <si>
    <t>모델 수수료</t>
    <phoneticPr fontId="3" type="noConversion"/>
  </si>
  <si>
    <t>매체 TOTAL</t>
    <phoneticPr fontId="3" type="noConversion"/>
  </si>
  <si>
    <t>신문 소계</t>
    <phoneticPr fontId="3" type="noConversion"/>
  </si>
  <si>
    <t>조선일보 외 4개사</t>
    <phoneticPr fontId="3" type="noConversion"/>
  </si>
  <si>
    <t>종합/경제</t>
    <phoneticPr fontId="3" type="noConversion"/>
  </si>
  <si>
    <t>브랜딩</t>
    <phoneticPr fontId="3" type="noConversion"/>
  </si>
  <si>
    <t>신문</t>
    <phoneticPr fontId="3" type="noConversion"/>
  </si>
  <si>
    <t>옥외 소계</t>
    <phoneticPr fontId="3" type="noConversion"/>
  </si>
  <si>
    <t>포커스미디어(주거지역&amp;오피스지역)</t>
    <phoneticPr fontId="3" type="noConversion"/>
  </si>
  <si>
    <t>골프존(6초 동영상, 전국커버)</t>
    <phoneticPr fontId="3" type="noConversion"/>
  </si>
  <si>
    <t>타겟</t>
    <phoneticPr fontId="3" type="noConversion"/>
  </si>
  <si>
    <t>서울 버스 외부 광고(35-40대 예정)</t>
    <phoneticPr fontId="3" type="noConversion"/>
  </si>
  <si>
    <t>서울 종로5가 BRT 중앙 쉘터</t>
    <phoneticPr fontId="3" type="noConversion"/>
  </si>
  <si>
    <t>서울 버스 가로변 쉘터(충정로)</t>
    <phoneticPr fontId="3" type="noConversion"/>
  </si>
  <si>
    <t>서울 및 광역시 버스 가로변 쉘터</t>
    <phoneticPr fontId="3" type="noConversion"/>
  </si>
  <si>
    <t>대중교통</t>
    <phoneticPr fontId="3" type="noConversion"/>
  </si>
  <si>
    <t>옥외</t>
    <phoneticPr fontId="3" type="noConversion"/>
  </si>
  <si>
    <t>라디오 소계</t>
    <phoneticPr fontId="3" type="noConversion"/>
  </si>
  <si>
    <t>SBS-파워FM</t>
    <phoneticPr fontId="3" type="noConversion"/>
  </si>
  <si>
    <t>온라인 소계</t>
    <phoneticPr fontId="3" type="noConversion"/>
  </si>
  <si>
    <t>브랜드검색 모바일 라이트형 일반</t>
    <phoneticPr fontId="3" type="noConversion"/>
  </si>
  <si>
    <t>네이버</t>
    <phoneticPr fontId="3" type="noConversion"/>
  </si>
  <si>
    <t>브랜드검색 PC 라이트형 일반</t>
    <phoneticPr fontId="3" type="noConversion"/>
  </si>
  <si>
    <t>블라인드</t>
    <phoneticPr fontId="3" type="noConversion"/>
  </si>
  <si>
    <t>디시인사이드</t>
    <phoneticPr fontId="3" type="noConversion"/>
  </si>
  <si>
    <t>카카오</t>
    <phoneticPr fontId="3" type="noConversion"/>
  </si>
  <si>
    <t>Mid Funnel</t>
    <phoneticPr fontId="3" type="noConversion"/>
  </si>
  <si>
    <t>TV 소계</t>
    <phoneticPr fontId="3" type="noConversion"/>
  </si>
  <si>
    <t>JTBC, tvN외</t>
  </si>
  <si>
    <t>케이블</t>
  </si>
  <si>
    <t>지상파</t>
    <phoneticPr fontId="3" type="noConversion"/>
  </si>
  <si>
    <t>매체</t>
    <phoneticPr fontId="3" type="noConversion"/>
  </si>
  <si>
    <t>연말</t>
    <phoneticPr fontId="3" type="noConversion"/>
  </si>
  <si>
    <t>추석</t>
    <phoneticPr fontId="3" type="noConversion"/>
  </si>
  <si>
    <t>가정의달</t>
    <phoneticPr fontId="3" type="noConversion"/>
  </si>
  <si>
    <t>온에어</t>
    <phoneticPr fontId="3" type="noConversion"/>
  </si>
  <si>
    <t>설날</t>
    <phoneticPr fontId="3" type="noConversion"/>
  </si>
  <si>
    <t>주요 이슈</t>
    <phoneticPr fontId="3" type="noConversion"/>
  </si>
  <si>
    <t>TOTAL</t>
  </si>
  <si>
    <t>12월</t>
  </si>
  <si>
    <t>11월</t>
  </si>
  <si>
    <t>10월</t>
  </si>
  <si>
    <t>9월</t>
  </si>
  <si>
    <t>8월</t>
  </si>
  <si>
    <t>7월</t>
  </si>
  <si>
    <t>6월</t>
  </si>
  <si>
    <t>5월</t>
  </si>
  <si>
    <t>4월</t>
  </si>
  <si>
    <t>3월</t>
  </si>
  <si>
    <t>2월</t>
  </si>
  <si>
    <t>채널</t>
    <phoneticPr fontId="3" type="noConversion"/>
  </si>
  <si>
    <t>(단위:천원)</t>
    <phoneticPr fontId="3" type="noConversion"/>
  </si>
  <si>
    <t>총 계</t>
    <phoneticPr fontId="3" type="noConversion"/>
  </si>
  <si>
    <t>소  계</t>
  </si>
  <si>
    <t>지상파광고비(M)</t>
    <phoneticPr fontId="3" type="noConversion"/>
  </si>
  <si>
    <t>옥외광고비(M)</t>
    <phoneticPr fontId="3" type="noConversion"/>
  </si>
  <si>
    <t>매체광고제작비(M)</t>
    <phoneticPr fontId="3" type="noConversion"/>
  </si>
  <si>
    <t>인터넷 광고비(M)</t>
    <phoneticPr fontId="3" type="noConversion"/>
  </si>
  <si>
    <t>전문지 광고비(M)</t>
    <phoneticPr fontId="3" type="noConversion"/>
  </si>
  <si>
    <t>라디오 광고비(M)</t>
    <phoneticPr fontId="3" type="noConversion"/>
  </si>
  <si>
    <t>신문 광고비(M)</t>
    <phoneticPr fontId="3" type="noConversion"/>
  </si>
  <si>
    <t>CABLE광고비(M)</t>
    <phoneticPr fontId="3" type="noConversion"/>
  </si>
  <si>
    <t>계획</t>
  </si>
  <si>
    <t>벤포벨</t>
    <phoneticPr fontId="3" type="noConversion"/>
  </si>
  <si>
    <t>3월</t>
    <phoneticPr fontId="3" type="noConversion"/>
  </si>
  <si>
    <t>2월</t>
    <phoneticPr fontId="3" type="noConversion"/>
  </si>
  <si>
    <t>1월</t>
    <phoneticPr fontId="3" type="noConversion"/>
  </si>
  <si>
    <t>2H</t>
    <phoneticPr fontId="3" type="noConversion"/>
  </si>
  <si>
    <t>1H</t>
    <phoneticPr fontId="3" type="noConversion"/>
  </si>
  <si>
    <t>계</t>
    <phoneticPr fontId="3" type="noConversion"/>
  </si>
  <si>
    <t>계정명</t>
    <phoneticPr fontId="3" type="noConversion"/>
  </si>
  <si>
    <t>계정코드</t>
    <phoneticPr fontId="3" type="noConversion"/>
  </si>
  <si>
    <t>구  분</t>
    <phoneticPr fontId="3" type="noConversion"/>
  </si>
  <si>
    <t>(천원)</t>
    <phoneticPr fontId="3" type="noConversion"/>
  </si>
  <si>
    <t>2. 계정별 예산 사용 계획</t>
    <phoneticPr fontId="3" type="noConversion"/>
  </si>
  <si>
    <t>계획</t>
    <phoneticPr fontId="3" type="noConversion"/>
  </si>
  <si>
    <t>OTC팀 계</t>
    <phoneticPr fontId="3" type="noConversion"/>
  </si>
  <si>
    <t>비  고</t>
    <phoneticPr fontId="3" type="noConversion"/>
  </si>
  <si>
    <t xml:space="preserve"> 1. 월별 예산 사용 계획</t>
    <phoneticPr fontId="3" type="noConversion"/>
  </si>
  <si>
    <t>OTC마케팅팀</t>
  </si>
  <si>
    <t>23.11.23</t>
    <phoneticPr fontId="3" type="noConversion"/>
  </si>
  <si>
    <t>벤포벨 2024년 예산</t>
    <phoneticPr fontId="3" type="noConversion"/>
  </si>
  <si>
    <t>◐ 2024년 OTC 브랜드별 홍보 예산 사용계획</t>
    <phoneticPr fontId="3" type="noConversion"/>
  </si>
  <si>
    <t>지상파 3사 가상광고</t>
    <phoneticPr fontId="3" type="noConversion"/>
  </si>
  <si>
    <t>올림픽</t>
    <phoneticPr fontId="3" type="noConversion"/>
  </si>
  <si>
    <t>24년1월</t>
    <phoneticPr fontId="3" type="noConversion"/>
  </si>
  <si>
    <t>유튜브</t>
    <phoneticPr fontId="3" type="noConversion"/>
  </si>
  <si>
    <t>인스타그램</t>
    <phoneticPr fontId="3" type="noConversion"/>
  </si>
  <si>
    <t>디지털, 가상광고</t>
    <phoneticPr fontId="3" type="noConversion"/>
  </si>
  <si>
    <t>PR</t>
    <phoneticPr fontId="3" type="noConversion"/>
  </si>
  <si>
    <t>인플루언서</t>
    <phoneticPr fontId="3" type="noConversion"/>
  </si>
  <si>
    <t>히든컨텐츠</t>
    <phoneticPr fontId="3" type="noConversion"/>
  </si>
  <si>
    <t>제약광고심의</t>
    <phoneticPr fontId="3" type="noConversion"/>
  </si>
  <si>
    <t>도로 및 건물</t>
    <phoneticPr fontId="3" type="noConversion"/>
  </si>
  <si>
    <t>서울 버스 외부 광고</t>
    <phoneticPr fontId="3" type="noConversion"/>
  </si>
  <si>
    <t>옥외 광고</t>
    <phoneticPr fontId="3" type="noConversion"/>
  </si>
  <si>
    <r>
      <t>제약광고심의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</si>
  <si>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방송광고심의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</si>
  <si>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배송비(바이럴)</t>
    </r>
    <r>
      <rPr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</si>
  <si>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서브 모델료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</si>
  <si>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벤포벨 사이트 서버비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</si>
  <si>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 xml:space="preserve">옥외 출력비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</si>
  <si>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t>23.11.30</t>
    <phoneticPr fontId="3" type="noConversion"/>
  </si>
  <si>
    <t>총   계 (대행수수료 포함, 부가세 별도)</t>
    <phoneticPr fontId="3" type="noConversion"/>
  </si>
  <si>
    <t>제작 TOTAL (대행수수료 포함)</t>
    <phoneticPr fontId="3" type="noConversion"/>
  </si>
  <si>
    <t>제작 합계 (대행수수료 제외)</t>
    <phoneticPr fontId="3" type="noConversion"/>
  </si>
  <si>
    <t xml:space="preserve">* 위 제작비 항목에는 17.65%의 대행수수료가 포함되었습니다. (미포함 항목 별도 표기)
* 23년 서브 모델비는 모델수수료 미청구 합니다.
* 대행수수료 제외 금액은 하단에 별도 표기하였습니다.
* 위 견적은 실제 제작 상황에 따라 변동 가능합니다. </t>
    <phoneticPr fontId="3" type="noConversion"/>
  </si>
  <si>
    <t>서브 모델료</t>
    <phoneticPr fontId="3" type="noConversion"/>
  </si>
  <si>
    <t>벤포벨 사이트 수정개발</t>
    <phoneticPr fontId="3" type="noConversion"/>
  </si>
  <si>
    <t>24.03.18</t>
    <phoneticPr fontId="3" type="noConversion"/>
  </si>
  <si>
    <t>24.04.23</t>
    <phoneticPr fontId="3" type="noConversion"/>
  </si>
  <si>
    <t>수도권 지하철 PSP(40기)</t>
    <phoneticPr fontId="3" type="noConversion"/>
  </si>
  <si>
    <t>24.07.24</t>
    <phoneticPr fontId="3" type="noConversion"/>
  </si>
  <si>
    <t>24.08.22</t>
    <phoneticPr fontId="3" type="noConversion"/>
  </si>
  <si>
    <t>4월</t>
    <phoneticPr fontId="3" type="noConversion"/>
  </si>
  <si>
    <t>상반기</t>
    <phoneticPr fontId="3" type="noConversion"/>
  </si>
  <si>
    <t>하반기</t>
    <phoneticPr fontId="3" type="noConversion"/>
  </si>
  <si>
    <t>디지털</t>
    <phoneticPr fontId="3" type="noConversion"/>
  </si>
  <si>
    <t>인터웍스</t>
    <phoneticPr fontId="3" type="noConversion"/>
  </si>
  <si>
    <t>◐ 브랜드별 예산사용 상세내역 ② 벤포벨</t>
    <phoneticPr fontId="3" type="noConversion"/>
  </si>
  <si>
    <t>OTC MKT</t>
    <phoneticPr fontId="3" type="noConversion"/>
  </si>
  <si>
    <r>
      <t>&lt;2024. 11. 2</t>
    </r>
    <r>
      <rPr>
        <sz val="10"/>
        <color theme="1"/>
        <rFont val="맑은 고딕"/>
        <family val="3"/>
        <charset val="129"/>
      </rPr>
      <t>1</t>
    </r>
    <r>
      <rPr>
        <sz val="10"/>
        <color theme="1"/>
        <rFont val="한컴 고딕"/>
        <family val="3"/>
        <charset val="129"/>
      </rPr>
      <t>&gt;</t>
    </r>
    <phoneticPr fontId="3" type="noConversion"/>
  </si>
  <si>
    <t>(단위: 천원)</t>
    <phoneticPr fontId="3" type="noConversion"/>
  </si>
  <si>
    <t>2024. 1월</t>
    <phoneticPr fontId="3" type="noConversion"/>
  </si>
  <si>
    <t>소 계</t>
    <phoneticPr fontId="3" type="noConversion"/>
  </si>
  <si>
    <t>인스타그램</t>
  </si>
  <si>
    <t>네이버</t>
  </si>
  <si>
    <t>브랜드검색 PC 라이트형 일반</t>
  </si>
  <si>
    <t>수도권 지하철 PSP(40기)</t>
  </si>
  <si>
    <t>매체비 소계</t>
    <phoneticPr fontId="3" type="noConversion"/>
  </si>
  <si>
    <t>서브 모델료</t>
  </si>
  <si>
    <t>디지털, 가상광고</t>
  </si>
  <si>
    <t>PR</t>
  </si>
  <si>
    <r>
      <t>인플루언서</t>
    </r>
    <r>
      <rPr>
        <sz val="10"/>
        <color theme="1"/>
        <rFont val="맑은 고딕"/>
        <family val="3"/>
        <charset val="129"/>
      </rPr>
      <t>/블로그</t>
    </r>
    <phoneticPr fontId="3" type="noConversion"/>
  </si>
  <si>
    <t>히든컨텐츠</t>
  </si>
  <si>
    <t>온라인 배너 제작</t>
  </si>
  <si>
    <t>서버유지비</t>
    <phoneticPr fontId="3" type="noConversion"/>
  </si>
  <si>
    <t xml:space="preserve"> 사이트 수정개발</t>
    <phoneticPr fontId="3" type="noConversion"/>
  </si>
  <si>
    <t>옥외 출력비*</t>
    <phoneticPr fontId="3" type="noConversion"/>
  </si>
  <si>
    <t>제약광고심의*</t>
    <phoneticPr fontId="3" type="noConversion"/>
  </si>
  <si>
    <t>방송광고심의*</t>
    <phoneticPr fontId="3" type="noConversion"/>
  </si>
  <si>
    <t>배송비(바이럴)*</t>
    <phoneticPr fontId="3" type="noConversion"/>
  </si>
  <si>
    <t>제작비 소계(대행수수료 포함)</t>
    <phoneticPr fontId="3" type="noConversion"/>
  </si>
  <si>
    <t>계 (대행수수료 포함, 부가세 별도)</t>
    <phoneticPr fontId="3" type="noConversion"/>
  </si>
  <si>
    <t xml:space="preserve"> * 벨컴 대행 수수료</t>
    <phoneticPr fontId="3" type="noConversion"/>
  </si>
  <si>
    <t xml:space="preserve"> ① 위 제작비 항목에는 17.65%의 대행수수료가 포함 (미포함 항목 별도 표기)</t>
    <phoneticPr fontId="3" type="noConversion"/>
  </si>
  <si>
    <t xml:space="preserve"> ② '23년 서브 모델비는 모델 수수료 미청구</t>
    <phoneticPr fontId="3" type="noConversion"/>
  </si>
  <si>
    <t>* 대행수수료 제외 금액은 하단에 별도 표기 (제외항목 *)</t>
    <phoneticPr fontId="3" type="noConversion"/>
  </si>
  <si>
    <t>* 위 견적은 실제 제작 상황에 따라 변동 될 수 있음</t>
    <phoneticPr fontId="3" type="noConversion"/>
  </si>
  <si>
    <t>[참고] 제작비 상세내역 (벨컴 수수료 별도)</t>
    <phoneticPr fontId="3" type="noConversion"/>
  </si>
  <si>
    <t>인플루언서</t>
  </si>
  <si>
    <t>소재</t>
  </si>
  <si>
    <t>서버유지비</t>
  </si>
  <si>
    <t>벤포벨 사이트 서버비</t>
  </si>
  <si>
    <t>제작비 소계 (대행수수료 제외)</t>
  </si>
  <si>
    <t>대행수수료</t>
  </si>
  <si>
    <t>계 (대행수수료 포함, 부가세 별도)</t>
  </si>
  <si>
    <t xml:space="preserve"> * 벨컴 대행수수료</t>
    <phoneticPr fontId="3" type="noConversion"/>
  </si>
  <si>
    <t xml:space="preserve"> ① 모델료 X 10%</t>
    <phoneticPr fontId="3" type="noConversion"/>
  </si>
  <si>
    <t xml:space="preserve"> ② TVC/지면 제작, 온라인 바이럴 및 소재, 시장조사 X 17.65%</t>
    <phoneticPr fontId="3" type="noConversion"/>
  </si>
  <si>
    <t xml:space="preserve"> ③ 심의비, 출력비 등 제외 (제외항목 *)</t>
    <phoneticPr fontId="3" type="noConversion"/>
  </si>
  <si>
    <t>벤포벨 2025년 예산</t>
    <phoneticPr fontId="3" type="noConversion"/>
  </si>
  <si>
    <t>25년 1월</t>
    <phoneticPr fontId="3" type="noConversion"/>
  </si>
  <si>
    <t>GFA</t>
    <phoneticPr fontId="3" type="noConversion"/>
  </si>
  <si>
    <t>필름 2편(30초/15초)</t>
    <phoneticPr fontId="3" type="noConversion"/>
  </si>
  <si>
    <t>지면</t>
    <phoneticPr fontId="3" type="noConversion"/>
  </si>
  <si>
    <t>히든콘텐츠</t>
    <phoneticPr fontId="3" type="noConversion"/>
  </si>
  <si>
    <t>파워블로그</t>
    <phoneticPr fontId="3" type="noConversion"/>
  </si>
  <si>
    <t xml:space="preserve">소재 출력 </t>
    <phoneticPr fontId="3" type="noConversion"/>
  </si>
  <si>
    <t>소재 제작</t>
    <phoneticPr fontId="3" type="noConversion"/>
  </si>
  <si>
    <t>광고 효과 조사</t>
    <phoneticPr fontId="3" type="noConversion"/>
  </si>
  <si>
    <t>사이트 유지보수</t>
    <phoneticPr fontId="3" type="noConversion"/>
  </si>
  <si>
    <t>모델비</t>
    <phoneticPr fontId="3" type="noConversion"/>
  </si>
  <si>
    <t>모델 수수료</t>
    <phoneticPr fontId="3" type="noConversion"/>
  </si>
  <si>
    <t>타겟</t>
    <phoneticPr fontId="3" type="noConversion"/>
  </si>
  <si>
    <t>수도권 및 전국 버스쉘터 / 지하철 PSD-신규</t>
    <phoneticPr fontId="3" type="noConversion"/>
  </si>
  <si>
    <t>수도권 및 전국 버스쉘터 / 지하철 PSD-기존</t>
    <phoneticPr fontId="3" type="noConversion"/>
  </si>
  <si>
    <t>25.09.24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</si>
</sst>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_-* #,##0_-;\-* #,##0_-;_-* &quot;-&quot;?_-;_-@_-"/>
    <numFmt numFmtId="179" formatCode="#,##0_);[Red]\(#,##0\)"/>
    <numFmt numFmtId="180" formatCode="#,##0_ ;[Red]\-#,##0\ "/>
    <numFmt numFmtId="181" formatCode="_-* #,##0.0_-;\-* #,##0.0_-;_-* &quot;-&quot;?_-;_-@_-"/>
    <numFmt numFmtId="182" formatCode="_-* #,##0_-;\-* #,##0_-;_-* &quot;-&quot;??_-;_-@_-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b/>
      <sz val="16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sz val="9"/>
      <color theme="1"/>
      <name val="한컴 고딕"/>
      <family val="3"/>
      <charset val="129"/>
    </font>
    <font>
      <sz val="10"/>
      <color theme="1"/>
      <name val="한컴 고딕"/>
      <family val="3"/>
      <charset val="129"/>
    </font>
    <font>
      <sz val="10"/>
      <color theme="1"/>
      <name val="맑은 고딕"/>
      <family val="3"/>
      <charset val="129"/>
    </font>
    <font>
      <sz val="16"/>
      <color theme="1"/>
      <name val="한컴 고딕"/>
      <family val="3"/>
      <charset val="129"/>
    </font>
    <font>
      <b/>
      <sz val="10"/>
      <color theme="1"/>
      <name val="한컴 고딕"/>
      <family val="3"/>
      <charset val="129"/>
    </font>
    <font>
      <sz val="10"/>
      <color rgb="FF000000"/>
      <name val="한컴 고딕"/>
      <family val="3"/>
      <charset val="129"/>
    </font>
    <font>
      <sz val="10"/>
      <color rgb="FFFF0000"/>
      <name val="한컴 고딕"/>
      <family val="3"/>
      <charset val="129"/>
    </font>
    <font>
      <sz val="10"/>
      <name val="한컴 고딕"/>
      <family val="3"/>
      <charset val="129"/>
    </font>
    <font>
      <b/>
      <sz val="10"/>
      <name val="한컴 고딕"/>
      <family val="3"/>
      <charset val="129"/>
    </font>
    <font>
      <b/>
      <sz val="10"/>
      <color rgb="FFFF0000"/>
      <name val="한컴 고딕"/>
      <family val="3"/>
      <charset val="129"/>
    </font>
    <font>
      <b/>
      <sz val="11"/>
      <color theme="1"/>
      <name val="한컴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theme="5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41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59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41" fontId="4" fillId="2" borderId="1" xfId="1" applyFont="1" applyFill="1" applyBorder="1">
      <alignment vertical="center"/>
    </xf>
    <xf numFmtId="41" fontId="5" fillId="3" borderId="1" xfId="1" applyFont="1" applyFill="1" applyBorder="1">
      <alignment vertical="center"/>
    </xf>
    <xf numFmtId="41" fontId="7" fillId="4" borderId="1" xfId="1" applyFont="1" applyFill="1" applyBorder="1" applyAlignment="1">
      <alignment horizontal="right" vertical="center" wrapText="1" readingOrder="1"/>
    </xf>
    <xf numFmtId="41" fontId="7" fillId="5" borderId="1" xfId="1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right" vertical="center" wrapText="1" readingOrder="1"/>
    </xf>
    <xf numFmtId="41" fontId="9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3" borderId="1" xfId="1" applyFont="1" applyFill="1" applyBorder="1" applyAlignment="1">
      <alignment horizontal="right" vertical="center" wrapText="1" readingOrder="1"/>
    </xf>
    <xf numFmtId="0" fontId="8" fillId="0" borderId="1" xfId="0" quotePrefix="1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41" fontId="10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0" borderId="6" xfId="1" applyFont="1" applyFill="1" applyBorder="1" applyAlignment="1">
      <alignment horizontal="right" vertical="center" wrapText="1" readingOrder="1"/>
    </xf>
    <xf numFmtId="0" fontId="0" fillId="0" borderId="8" xfId="0" applyBorder="1">
      <alignment vertical="center"/>
    </xf>
    <xf numFmtId="0" fontId="11" fillId="0" borderId="8" xfId="0" applyFont="1" applyBorder="1">
      <alignment vertical="center"/>
    </xf>
    <xf numFmtId="41" fontId="5" fillId="0" borderId="1" xfId="1" applyFont="1" applyFill="1" applyBorder="1">
      <alignment vertical="center"/>
    </xf>
    <xf numFmtId="41" fontId="4" fillId="0" borderId="1" xfId="1" applyFont="1" applyBorder="1">
      <alignment vertical="center"/>
    </xf>
    <xf numFmtId="41" fontId="7" fillId="5" borderId="1" xfId="1" applyNumberFormat="1" applyFont="1" applyFill="1" applyBorder="1" applyAlignment="1">
      <alignment horizontal="center" vertical="center" wrapText="1" readingOrder="1"/>
    </xf>
    <xf numFmtId="41" fontId="10" fillId="0" borderId="6" xfId="1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center" vertical="center" wrapText="1" readingOrder="1"/>
    </xf>
    <xf numFmtId="41" fontId="7" fillId="7" borderId="1" xfId="1" applyFont="1" applyFill="1" applyBorder="1" applyAlignment="1">
      <alignment horizontal="right" vertical="center" wrapText="1" readingOrder="1"/>
    </xf>
    <xf numFmtId="41" fontId="7" fillId="8" borderId="1" xfId="1" applyFont="1" applyFill="1" applyBorder="1" applyAlignment="1">
      <alignment horizontal="right" vertical="center" wrapText="1" readingOrder="1"/>
    </xf>
    <xf numFmtId="0" fontId="8" fillId="9" borderId="2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right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41" fontId="7" fillId="0" borderId="1" xfId="1" applyFont="1" applyFill="1" applyBorder="1" applyAlignment="1">
      <alignment horizontal="center" vertical="center" wrapText="1" readingOrder="1"/>
    </xf>
    <xf numFmtId="41" fontId="7" fillId="10" borderId="1" xfId="1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9" fillId="0" borderId="0" xfId="0" applyFont="1" applyFill="1">
      <alignment vertical="center"/>
    </xf>
    <xf numFmtId="176" fontId="9" fillId="0" borderId="0" xfId="0" applyNumberFormat="1" applyFont="1" applyFill="1">
      <alignment vertical="center"/>
    </xf>
    <xf numFmtId="43" fontId="9" fillId="0" borderId="0" xfId="0" applyNumberFormat="1" applyFont="1" applyFill="1">
      <alignment vertical="center"/>
    </xf>
    <xf numFmtId="41" fontId="9" fillId="11" borderId="12" xfId="0" applyNumberFormat="1" applyFont="1" applyFill="1" applyBorder="1">
      <alignment vertical="center"/>
    </xf>
    <xf numFmtId="41" fontId="9" fillId="11" borderId="13" xfId="0" applyNumberFormat="1" applyFont="1" applyFill="1" applyBorder="1">
      <alignment vertical="center"/>
    </xf>
    <xf numFmtId="41" fontId="9" fillId="11" borderId="14" xfId="0" applyNumberFormat="1" applyFont="1" applyFill="1" applyBorder="1">
      <alignment vertical="center"/>
    </xf>
    <xf numFmtId="41" fontId="9" fillId="11" borderId="15" xfId="0" applyNumberFormat="1" applyFont="1" applyFill="1" applyBorder="1">
      <alignment vertical="center"/>
    </xf>
    <xf numFmtId="41" fontId="9" fillId="11" borderId="16" xfId="0" applyNumberFormat="1" applyFont="1" applyFill="1" applyBorder="1">
      <alignment vertical="center"/>
    </xf>
    <xf numFmtId="41" fontId="9" fillId="11" borderId="1" xfId="0" applyNumberFormat="1" applyFont="1" applyFill="1" applyBorder="1">
      <alignment vertical="center"/>
    </xf>
    <xf numFmtId="41" fontId="9" fillId="0" borderId="17" xfId="1" applyFont="1" applyFill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41" fontId="9" fillId="0" borderId="19" xfId="1" applyFont="1" applyFill="1" applyBorder="1" applyAlignment="1">
      <alignment horizontal="center" vertical="center"/>
    </xf>
    <xf numFmtId="41" fontId="9" fillId="0" borderId="20" xfId="1" applyFont="1" applyFill="1" applyBorder="1" applyAlignment="1">
      <alignment horizontal="center" vertical="center"/>
    </xf>
    <xf numFmtId="41" fontId="9" fillId="0" borderId="21" xfId="1" applyFont="1" applyFill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 shrinkToFit="1"/>
    </xf>
    <xf numFmtId="41" fontId="9" fillId="0" borderId="19" xfId="1" applyFont="1" applyFill="1" applyBorder="1" applyAlignment="1">
      <alignment horizontal="center" vertical="center" shrinkToFit="1"/>
    </xf>
    <xf numFmtId="41" fontId="9" fillId="0" borderId="10" xfId="1" applyFont="1" applyFill="1" applyBorder="1" applyAlignment="1">
      <alignment vertical="center" shrinkToFit="1"/>
    </xf>
    <xf numFmtId="41" fontId="9" fillId="0" borderId="0" xfId="0" applyNumberFormat="1" applyFont="1" applyFill="1">
      <alignment vertical="center"/>
    </xf>
    <xf numFmtId="41" fontId="9" fillId="0" borderId="23" xfId="1" applyFont="1" applyFill="1" applyBorder="1">
      <alignment vertical="center"/>
    </xf>
    <xf numFmtId="41" fontId="9" fillId="0" borderId="24" xfId="1" applyFont="1" applyFill="1" applyBorder="1">
      <alignment vertical="center"/>
    </xf>
    <xf numFmtId="41" fontId="9" fillId="0" borderId="25" xfId="1" applyFont="1" applyFill="1" applyBorder="1" applyAlignment="1">
      <alignment horizontal="center" vertical="center"/>
    </xf>
    <xf numFmtId="41" fontId="9" fillId="0" borderId="26" xfId="1" applyFont="1" applyFill="1" applyBorder="1" applyAlignment="1">
      <alignment horizontal="center" vertical="center"/>
    </xf>
    <xf numFmtId="41" fontId="9" fillId="0" borderId="24" xfId="1" applyFont="1" applyFill="1" applyBorder="1" applyAlignment="1">
      <alignment horizontal="center" vertical="center"/>
    </xf>
    <xf numFmtId="41" fontId="9" fillId="0" borderId="27" xfId="1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/>
    </xf>
    <xf numFmtId="41" fontId="9" fillId="0" borderId="28" xfId="1" applyFont="1" applyFill="1" applyBorder="1" applyAlignment="1">
      <alignment horizontal="center" vertical="center" shrinkToFit="1"/>
    </xf>
    <xf numFmtId="41" fontId="9" fillId="0" borderId="29" xfId="1" applyFont="1" applyFill="1" applyBorder="1" applyAlignment="1">
      <alignment horizontal="center" vertical="center" shrinkToFit="1"/>
    </xf>
    <xf numFmtId="41" fontId="9" fillId="0" borderId="30" xfId="1" applyFont="1" applyFill="1" applyBorder="1" applyAlignment="1">
      <alignment vertical="center" shrinkToFit="1"/>
    </xf>
    <xf numFmtId="0" fontId="9" fillId="0" borderId="27" xfId="0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 shrinkToFit="1"/>
    </xf>
    <xf numFmtId="41" fontId="9" fillId="0" borderId="25" xfId="1" applyFont="1" applyFill="1" applyBorder="1" applyAlignment="1">
      <alignment horizontal="center" vertical="center" shrinkToFit="1"/>
    </xf>
    <xf numFmtId="41" fontId="9" fillId="0" borderId="33" xfId="1" applyFont="1" applyFill="1" applyBorder="1" applyAlignment="1">
      <alignment vertical="center" shrinkToFit="1"/>
    </xf>
    <xf numFmtId="41" fontId="10" fillId="0" borderId="24" xfId="1" applyFont="1" applyFill="1" applyBorder="1" applyAlignment="1">
      <alignment horizontal="center" vertical="center"/>
    </xf>
    <xf numFmtId="41" fontId="9" fillId="0" borderId="35" xfId="1" applyFont="1" applyFill="1" applyBorder="1" applyAlignment="1">
      <alignment horizontal="center" vertical="center" shrinkToFit="1"/>
    </xf>
    <xf numFmtId="41" fontId="9" fillId="0" borderId="36" xfId="1" applyFont="1" applyFill="1" applyBorder="1" applyAlignment="1">
      <alignment horizontal="center" vertical="center" shrinkToFit="1"/>
    </xf>
    <xf numFmtId="41" fontId="9" fillId="0" borderId="37" xfId="1" applyFont="1" applyFill="1" applyBorder="1">
      <alignment vertical="center"/>
    </xf>
    <xf numFmtId="41" fontId="9" fillId="0" borderId="38" xfId="1" applyFont="1" applyFill="1" applyBorder="1">
      <alignment vertical="center"/>
    </xf>
    <xf numFmtId="41" fontId="9" fillId="0" borderId="39" xfId="1" applyFont="1" applyFill="1" applyBorder="1" applyAlignment="1">
      <alignment horizontal="center" vertical="center"/>
    </xf>
    <xf numFmtId="41" fontId="10" fillId="0" borderId="40" xfId="1" applyFont="1" applyFill="1" applyBorder="1" applyAlignment="1">
      <alignment horizontal="center" vertical="center"/>
    </xf>
    <xf numFmtId="41" fontId="9" fillId="0" borderId="38" xfId="1" applyFont="1" applyFill="1" applyBorder="1" applyAlignment="1">
      <alignment horizontal="center" vertical="center"/>
    </xf>
    <xf numFmtId="41" fontId="9" fillId="0" borderId="40" xfId="1" applyFont="1" applyFill="1" applyBorder="1" applyAlignment="1">
      <alignment horizontal="center" vertical="center"/>
    </xf>
    <xf numFmtId="41" fontId="9" fillId="0" borderId="41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 shrinkToFit="1"/>
    </xf>
    <xf numFmtId="41" fontId="9" fillId="0" borderId="39" xfId="1" applyFont="1" applyFill="1" applyBorder="1" applyAlignment="1">
      <alignment horizontal="center" vertical="center" shrinkToFit="1"/>
    </xf>
    <xf numFmtId="41" fontId="9" fillId="0" borderId="11" xfId="1" applyFont="1" applyFill="1" applyBorder="1" applyAlignment="1">
      <alignment vertical="center" shrinkToFit="1"/>
    </xf>
    <xf numFmtId="0" fontId="9" fillId="0" borderId="4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left" vertical="center" readingOrder="1"/>
    </xf>
    <xf numFmtId="0" fontId="14" fillId="0" borderId="0" xfId="0" applyFont="1" applyFill="1" applyBorder="1" applyAlignment="1">
      <alignment horizontal="left" vertical="center" readingOrder="1"/>
    </xf>
    <xf numFmtId="0" fontId="9" fillId="0" borderId="0" xfId="0" applyFont="1" applyFill="1" applyBorder="1" applyAlignment="1">
      <alignment horizontal="center" vertical="center"/>
    </xf>
    <xf numFmtId="41" fontId="9" fillId="0" borderId="0" xfId="1" applyFon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 readingOrder="1"/>
    </xf>
    <xf numFmtId="0" fontId="9" fillId="0" borderId="51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41" fontId="9" fillId="0" borderId="12" xfId="1" applyFont="1" applyFill="1" applyBorder="1">
      <alignment vertical="center"/>
    </xf>
    <xf numFmtId="41" fontId="9" fillId="0" borderId="13" xfId="1" applyFont="1" applyFill="1" applyBorder="1">
      <alignment vertical="center"/>
    </xf>
    <xf numFmtId="41" fontId="9" fillId="0" borderId="14" xfId="1" applyFont="1" applyFill="1" applyBorder="1">
      <alignment vertical="center"/>
    </xf>
    <xf numFmtId="41" fontId="9" fillId="0" borderId="53" xfId="1" applyFont="1" applyFill="1" applyBorder="1">
      <alignment vertical="center"/>
    </xf>
    <xf numFmtId="41" fontId="9" fillId="0" borderId="54" xfId="1" applyFont="1" applyFill="1" applyBorder="1">
      <alignment vertical="center"/>
    </xf>
    <xf numFmtId="41" fontId="9" fillId="0" borderId="55" xfId="1" applyFont="1" applyFill="1" applyBorder="1">
      <alignment vertical="center"/>
    </xf>
    <xf numFmtId="41" fontId="9" fillId="0" borderId="56" xfId="1" applyFont="1" applyFill="1" applyBorder="1">
      <alignment vertical="center"/>
    </xf>
    <xf numFmtId="41" fontId="9" fillId="0" borderId="57" xfId="1" applyFont="1" applyFill="1" applyBorder="1">
      <alignment vertical="center"/>
    </xf>
    <xf numFmtId="41" fontId="9" fillId="0" borderId="58" xfId="1" applyFont="1" applyFill="1" applyBorder="1">
      <alignment vertical="center"/>
    </xf>
    <xf numFmtId="0" fontId="9" fillId="0" borderId="59" xfId="0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 wrapText="1" readingOrder="1"/>
    </xf>
    <xf numFmtId="41" fontId="9" fillId="4" borderId="62" xfId="1" applyFont="1" applyFill="1" applyBorder="1" applyAlignment="1">
      <alignment horizontal="center" vertical="center"/>
    </xf>
    <xf numFmtId="41" fontId="9" fillId="4" borderId="63" xfId="1" applyFont="1" applyFill="1" applyBorder="1" applyAlignment="1">
      <alignment horizontal="center" vertical="center"/>
    </xf>
    <xf numFmtId="41" fontId="9" fillId="4" borderId="64" xfId="1" applyFont="1" applyFill="1" applyBorder="1" applyAlignment="1">
      <alignment horizontal="center" vertical="center"/>
    </xf>
    <xf numFmtId="41" fontId="9" fillId="4" borderId="65" xfId="0" applyNumberFormat="1" applyFont="1" applyFill="1" applyBorder="1" applyAlignment="1">
      <alignment horizontal="center" vertical="center"/>
    </xf>
    <xf numFmtId="41" fontId="9" fillId="4" borderId="64" xfId="0" applyNumberFormat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 wrapText="1" readingOrder="1"/>
    </xf>
    <xf numFmtId="0" fontId="8" fillId="4" borderId="64" xfId="0" applyFont="1" applyFill="1" applyBorder="1" applyAlignment="1">
      <alignment horizontal="center" vertical="center" wrapText="1" readingOrder="1"/>
    </xf>
    <xf numFmtId="0" fontId="9" fillId="0" borderId="69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15" fillId="0" borderId="0" xfId="0" quotePrefix="1" applyFont="1" applyFill="1" applyBorder="1" applyAlignment="1">
      <alignment horizontal="right" vertical="center"/>
    </xf>
    <xf numFmtId="0" fontId="9" fillId="0" borderId="0" xfId="0" applyFont="1" applyFill="1" applyBorder="1">
      <alignment vertical="center"/>
    </xf>
    <xf numFmtId="0" fontId="16" fillId="0" borderId="0" xfId="0" applyFont="1" applyFill="1">
      <alignment vertical="center"/>
    </xf>
    <xf numFmtId="0" fontId="9" fillId="12" borderId="0" xfId="0" applyFont="1" applyFill="1" applyBorder="1">
      <alignment vertical="center"/>
    </xf>
    <xf numFmtId="0" fontId="4" fillId="12" borderId="0" xfId="0" applyFont="1" applyFill="1" applyBorder="1">
      <alignment vertical="center"/>
    </xf>
    <xf numFmtId="0" fontId="15" fillId="0" borderId="9" xfId="0" applyFont="1" applyFill="1" applyBorder="1" applyAlignment="1">
      <alignment horizontal="right" vertical="top"/>
    </xf>
    <xf numFmtId="0" fontId="16" fillId="0" borderId="9" xfId="0" applyFont="1" applyFill="1" applyBorder="1">
      <alignment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right" vertical="center"/>
    </xf>
    <xf numFmtId="0" fontId="17" fillId="0" borderId="70" xfId="0" applyFont="1" applyFill="1" applyBorder="1">
      <alignment vertical="center"/>
    </xf>
    <xf numFmtId="0" fontId="15" fillId="0" borderId="70" xfId="0" applyFont="1" applyFill="1" applyBorder="1" applyAlignment="1">
      <alignment horizontal="right" vertical="center"/>
    </xf>
    <xf numFmtId="0" fontId="18" fillId="0" borderId="0" xfId="0" quotePrefix="1" applyFont="1" applyFill="1" applyBorder="1" applyAlignment="1">
      <alignment horizontal="right"/>
    </xf>
    <xf numFmtId="0" fontId="19" fillId="0" borderId="0" xfId="0" applyFont="1" applyFill="1" applyBorder="1">
      <alignment vertical="center"/>
    </xf>
    <xf numFmtId="41" fontId="20" fillId="0" borderId="1" xfId="2" applyFont="1" applyFill="1" applyBorder="1" applyAlignment="1">
      <alignment horizontal="right" vertical="center" wrapText="1" readingOrder="1"/>
    </xf>
    <xf numFmtId="41" fontId="16" fillId="0" borderId="1" xfId="2" applyFont="1" applyFill="1" applyBorder="1" applyAlignment="1">
      <alignment horizontal="right" vertical="center" wrapText="1" readingOrder="1"/>
    </xf>
    <xf numFmtId="41" fontId="8" fillId="0" borderId="1" xfId="2" applyFont="1" applyFill="1" applyBorder="1" applyAlignment="1">
      <alignment horizontal="right" vertical="center" wrapText="1" readingOrder="1"/>
    </xf>
    <xf numFmtId="0" fontId="16" fillId="0" borderId="0" xfId="3" applyFont="1" applyFill="1">
      <alignment vertical="center"/>
    </xf>
    <xf numFmtId="0" fontId="0" fillId="0" borderId="0" xfId="0">
      <alignment vertical="center"/>
    </xf>
    <xf numFmtId="41" fontId="21" fillId="0" borderId="1" xfId="1" applyFont="1" applyFill="1" applyBorder="1" applyAlignment="1">
      <alignment horizontal="right" vertical="center" wrapText="1" readingOrder="1"/>
    </xf>
    <xf numFmtId="41" fontId="21" fillId="13" borderId="1" xfId="1" applyFont="1" applyFill="1" applyBorder="1" applyAlignment="1">
      <alignment horizontal="right" vertical="center" wrapText="1" readingOrder="1"/>
    </xf>
    <xf numFmtId="41" fontId="22" fillId="0" borderId="1" xfId="2" applyFont="1" applyFill="1" applyBorder="1" applyAlignment="1">
      <alignment horizontal="right" vertical="center" wrapText="1" readingOrder="1"/>
    </xf>
    <xf numFmtId="0" fontId="22" fillId="0" borderId="0" xfId="3" applyFont="1">
      <alignment vertical="center"/>
    </xf>
    <xf numFmtId="41" fontId="22" fillId="13" borderId="1" xfId="2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177" fontId="8" fillId="0" borderId="1" xfId="1" applyNumberFormat="1" applyFont="1" applyFill="1" applyBorder="1" applyAlignment="1">
      <alignment horizontal="right" vertical="center" wrapText="1" readingOrder="1"/>
    </xf>
    <xf numFmtId="41" fontId="8" fillId="0" borderId="1" xfId="1" applyNumberFormat="1" applyFont="1" applyFill="1" applyBorder="1" applyAlignment="1">
      <alignment horizontal="right" vertical="center" wrapText="1" readingOrder="1"/>
    </xf>
    <xf numFmtId="0" fontId="9" fillId="0" borderId="0" xfId="3" applyFont="1" applyFill="1">
      <alignment vertical="center"/>
    </xf>
    <xf numFmtId="41" fontId="9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right" vertical="center" wrapText="1" readingOrder="1"/>
    </xf>
    <xf numFmtId="41" fontId="9" fillId="3" borderId="41" xfId="1" applyFont="1" applyFill="1" applyBorder="1" applyAlignment="1">
      <alignment horizontal="center" vertical="center"/>
    </xf>
    <xf numFmtId="41" fontId="9" fillId="3" borderId="40" xfId="1" applyFont="1" applyFill="1" applyBorder="1" applyAlignment="1">
      <alignment horizontal="center" vertical="center"/>
    </xf>
    <xf numFmtId="41" fontId="9" fillId="3" borderId="39" xfId="1" applyFont="1" applyFill="1" applyBorder="1" applyAlignment="1">
      <alignment horizontal="center" vertical="center"/>
    </xf>
    <xf numFmtId="41" fontId="9" fillId="3" borderId="38" xfId="1" applyFont="1" applyFill="1" applyBorder="1" applyAlignment="1">
      <alignment horizontal="center" vertical="center"/>
    </xf>
    <xf numFmtId="41" fontId="10" fillId="3" borderId="40" xfId="1" applyFont="1" applyFill="1" applyBorder="1" applyAlignment="1">
      <alignment horizontal="center" vertical="center"/>
    </xf>
    <xf numFmtId="41" fontId="9" fillId="3" borderId="27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41" fontId="10" fillId="3" borderId="24" xfId="1" applyFont="1" applyFill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41" fontId="9" fillId="3" borderId="25" xfId="1" applyFont="1" applyFill="1" applyBorder="1" applyAlignment="1">
      <alignment horizontal="center" vertical="center"/>
    </xf>
    <xf numFmtId="41" fontId="9" fillId="3" borderId="24" xfId="1" applyFont="1" applyFill="1" applyBorder="1">
      <alignment vertical="center"/>
    </xf>
    <xf numFmtId="41" fontId="9" fillId="0" borderId="71" xfId="1" applyFont="1" applyFill="1" applyBorder="1" applyAlignment="1">
      <alignment horizontal="center" vertical="center"/>
    </xf>
    <xf numFmtId="41" fontId="9" fillId="3" borderId="1" xfId="1" applyFont="1" applyFill="1" applyBorder="1" applyAlignment="1">
      <alignment horizontal="right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10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178" fontId="4" fillId="2" borderId="1" xfId="1" applyNumberFormat="1" applyFont="1" applyFill="1" applyBorder="1">
      <alignment vertical="center"/>
    </xf>
    <xf numFmtId="41" fontId="9" fillId="3" borderId="23" xfId="1" applyFont="1" applyFill="1" applyBorder="1">
      <alignment vertical="center"/>
    </xf>
    <xf numFmtId="13" fontId="0" fillId="0" borderId="0" xfId="0" applyNumberFormat="1">
      <alignment vertical="center"/>
    </xf>
    <xf numFmtId="41" fontId="29" fillId="0" borderId="0" xfId="4" applyNumberFormat="1" applyFont="1" applyAlignment="1" applyProtection="1">
      <alignment horizontal="center" vertical="center"/>
      <protection locked="0"/>
    </xf>
    <xf numFmtId="179" fontId="30" fillId="0" borderId="1" xfId="5" applyNumberFormat="1" applyFont="1" applyFill="1" applyBorder="1" applyAlignment="1" applyProtection="1">
      <alignment vertical="center" shrinkToFit="1"/>
      <protection locked="0"/>
    </xf>
    <xf numFmtId="3" fontId="0" fillId="0" borderId="0" xfId="0" applyNumberFormat="1">
      <alignment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1" fillId="0" borderId="0" xfId="6" applyFill="1">
      <alignment vertical="center"/>
    </xf>
    <xf numFmtId="0" fontId="33" fillId="0" borderId="0" xfId="3" applyFont="1" applyFill="1" applyBorder="1" applyAlignment="1">
      <alignment vertical="center"/>
    </xf>
    <xf numFmtId="0" fontId="34" fillId="0" borderId="0" xfId="6" applyFont="1" applyFill="1">
      <alignment vertical="center"/>
    </xf>
    <xf numFmtId="0" fontId="35" fillId="0" borderId="0" xfId="6" applyFont="1" applyFill="1" applyAlignment="1">
      <alignment horizontal="right"/>
    </xf>
    <xf numFmtId="0" fontId="33" fillId="14" borderId="0" xfId="3" applyFont="1" applyFill="1" applyBorder="1" applyAlignment="1">
      <alignment horizontal="left" vertical="center"/>
    </xf>
    <xf numFmtId="0" fontId="34" fillId="14" borderId="0" xfId="6" applyFont="1" applyFill="1" applyBorder="1">
      <alignment vertical="center"/>
    </xf>
    <xf numFmtId="0" fontId="34" fillId="14" borderId="0" xfId="6" applyFont="1" applyFill="1" applyBorder="1" applyAlignment="1">
      <alignment horizontal="right" vertical="center"/>
    </xf>
    <xf numFmtId="0" fontId="33" fillId="0" borderId="8" xfId="3" applyFont="1" applyFill="1" applyBorder="1" applyAlignment="1">
      <alignment horizontal="left" vertical="center"/>
    </xf>
    <xf numFmtId="0" fontId="34" fillId="0" borderId="8" xfId="6" applyFont="1" applyFill="1" applyBorder="1">
      <alignment vertical="center"/>
    </xf>
    <xf numFmtId="0" fontId="34" fillId="0" borderId="8" xfId="6" applyFont="1" applyFill="1" applyBorder="1" applyAlignment="1">
      <alignment horizontal="right" vertical="center"/>
    </xf>
    <xf numFmtId="0" fontId="38" fillId="0" borderId="0" xfId="6" applyFont="1" applyFill="1">
      <alignment vertical="center"/>
    </xf>
    <xf numFmtId="0" fontId="39" fillId="0" borderId="0" xfId="6" applyFont="1" applyFill="1" applyBorder="1" applyAlignment="1">
      <alignment horizontal="left" vertical="center"/>
    </xf>
    <xf numFmtId="0" fontId="36" fillId="0" borderId="0" xfId="6" applyFont="1" applyFill="1">
      <alignment vertical="center"/>
    </xf>
    <xf numFmtId="0" fontId="36" fillId="0" borderId="0" xfId="6" applyFont="1" applyFill="1" applyAlignment="1">
      <alignment horizontal="right" vertical="center"/>
    </xf>
    <xf numFmtId="0" fontId="36" fillId="0" borderId="74" xfId="6" applyFont="1" applyFill="1" applyBorder="1" applyAlignment="1">
      <alignment horizontal="center" vertical="center" wrapText="1" readingOrder="1"/>
    </xf>
    <xf numFmtId="41" fontId="40" fillId="0" borderId="72" xfId="7" applyFont="1" applyFill="1" applyBorder="1" applyAlignment="1">
      <alignment horizontal="center" vertical="center" shrinkToFit="1" readingOrder="1"/>
    </xf>
    <xf numFmtId="41" fontId="40" fillId="0" borderId="73" xfId="7" applyFont="1" applyFill="1" applyBorder="1" applyAlignment="1">
      <alignment horizontal="center" vertical="center" wrapText="1" readingOrder="1"/>
    </xf>
    <xf numFmtId="41" fontId="40" fillId="0" borderId="75" xfId="7" applyFont="1" applyFill="1" applyBorder="1" applyAlignment="1">
      <alignment horizontal="center" vertical="center" wrapText="1" readingOrder="1"/>
    </xf>
    <xf numFmtId="41" fontId="40" fillId="0" borderId="76" xfId="7" applyFont="1" applyFill="1" applyBorder="1" applyAlignment="1">
      <alignment horizontal="center" vertical="center" wrapText="1" readingOrder="1"/>
    </xf>
    <xf numFmtId="41" fontId="40" fillId="0" borderId="74" xfId="7" applyFont="1" applyFill="1" applyBorder="1" applyAlignment="1">
      <alignment horizontal="center" vertical="center" wrapText="1" readingOrder="1"/>
    </xf>
    <xf numFmtId="41" fontId="40" fillId="0" borderId="72" xfId="7" applyFont="1" applyFill="1" applyBorder="1" applyAlignment="1">
      <alignment horizontal="center" vertical="center" wrapText="1" readingOrder="1"/>
    </xf>
    <xf numFmtId="41" fontId="40" fillId="0" borderId="1" xfId="7" applyFont="1" applyFill="1" applyBorder="1" applyAlignment="1">
      <alignment horizontal="center" vertical="center" wrapText="1" readingOrder="1"/>
    </xf>
    <xf numFmtId="0" fontId="40" fillId="0" borderId="77" xfId="6" applyFont="1" applyFill="1" applyBorder="1" applyAlignment="1">
      <alignment horizontal="center" vertical="center" wrapText="1" readingOrder="1"/>
    </xf>
    <xf numFmtId="0" fontId="36" fillId="0" borderId="78" xfId="6" applyFont="1" applyFill="1" applyBorder="1" applyAlignment="1">
      <alignment horizontal="left" vertical="center" wrapText="1" readingOrder="1"/>
    </xf>
    <xf numFmtId="180" fontId="40" fillId="0" borderId="77" xfId="7" applyNumberFormat="1" applyFont="1" applyFill="1" applyBorder="1" applyAlignment="1">
      <alignment vertical="center" shrinkToFit="1" readingOrder="1"/>
    </xf>
    <xf numFmtId="180" fontId="40" fillId="0" borderId="79" xfId="7" applyNumberFormat="1" applyFont="1" applyFill="1" applyBorder="1" applyAlignment="1">
      <alignment vertical="center" shrinkToFit="1" readingOrder="1"/>
    </xf>
    <xf numFmtId="180" fontId="40" fillId="0" borderId="80" xfId="8" applyNumberFormat="1" applyFont="1" applyFill="1" applyBorder="1" applyAlignment="1">
      <alignment vertical="center" shrinkToFit="1" readingOrder="1"/>
    </xf>
    <xf numFmtId="180" fontId="40" fillId="0" borderId="81" xfId="8" applyNumberFormat="1" applyFont="1" applyFill="1" applyBorder="1" applyAlignment="1">
      <alignment vertical="center" shrinkToFit="1" readingOrder="1"/>
    </xf>
    <xf numFmtId="180" fontId="40" fillId="0" borderId="79" xfId="8" applyNumberFormat="1" applyFont="1" applyFill="1" applyBorder="1" applyAlignment="1">
      <alignment vertical="center" shrinkToFit="1" readingOrder="1"/>
    </xf>
    <xf numFmtId="180" fontId="40" fillId="0" borderId="78" xfId="8" applyNumberFormat="1" applyFont="1" applyFill="1" applyBorder="1" applyAlignment="1">
      <alignment vertical="center" shrinkToFit="1" readingOrder="1"/>
    </xf>
    <xf numFmtId="180" fontId="40" fillId="0" borderId="77" xfId="8" applyNumberFormat="1" applyFont="1" applyFill="1" applyBorder="1" applyAlignment="1">
      <alignment vertical="center" shrinkToFit="1" readingOrder="1"/>
    </xf>
    <xf numFmtId="180" fontId="40" fillId="0" borderId="78" xfId="7" applyNumberFormat="1" applyFont="1" applyFill="1" applyBorder="1" applyAlignment="1">
      <alignment vertical="center" shrinkToFit="1" readingOrder="1"/>
    </xf>
    <xf numFmtId="180" fontId="40" fillId="0" borderId="82" xfId="7" applyNumberFormat="1" applyFont="1" applyFill="1" applyBorder="1" applyAlignment="1">
      <alignment vertical="center" shrinkToFit="1" readingOrder="1"/>
    </xf>
    <xf numFmtId="0" fontId="40" fillId="0" borderId="83" xfId="6" applyFont="1" applyFill="1" applyBorder="1" applyAlignment="1">
      <alignment horizontal="center" vertical="center" wrapText="1" readingOrder="1"/>
    </xf>
    <xf numFmtId="0" fontId="40" fillId="0" borderId="32" xfId="6" applyFont="1" applyFill="1" applyBorder="1" applyAlignment="1">
      <alignment horizontal="left" vertical="center" wrapText="1" readingOrder="1"/>
    </xf>
    <xf numFmtId="180" fontId="40" fillId="0" borderId="83" xfId="7" applyNumberFormat="1" applyFont="1" applyFill="1" applyBorder="1" applyAlignment="1">
      <alignment vertical="center" shrinkToFit="1" readingOrder="1"/>
    </xf>
    <xf numFmtId="180" fontId="40" fillId="0" borderId="84" xfId="7" applyNumberFormat="1" applyFont="1" applyFill="1" applyBorder="1" applyAlignment="1">
      <alignment vertical="center" shrinkToFit="1" readingOrder="1"/>
    </xf>
    <xf numFmtId="180" fontId="40" fillId="0" borderId="71" xfId="8" applyNumberFormat="1" applyFont="1" applyFill="1" applyBorder="1" applyAlignment="1">
      <alignment vertical="center" shrinkToFit="1" readingOrder="1"/>
    </xf>
    <xf numFmtId="180" fontId="40" fillId="0" borderId="85" xfId="8" applyNumberFormat="1" applyFont="1" applyFill="1" applyBorder="1" applyAlignment="1">
      <alignment vertical="center" shrinkToFit="1" readingOrder="1"/>
    </xf>
    <xf numFmtId="180" fontId="40" fillId="0" borderId="84" xfId="8" applyNumberFormat="1" applyFont="1" applyFill="1" applyBorder="1" applyAlignment="1">
      <alignment vertical="center" shrinkToFit="1" readingOrder="1"/>
    </xf>
    <xf numFmtId="180" fontId="40" fillId="0" borderId="32" xfId="8" applyNumberFormat="1" applyFont="1" applyFill="1" applyBorder="1" applyAlignment="1">
      <alignment vertical="center" shrinkToFit="1" readingOrder="1"/>
    </xf>
    <xf numFmtId="180" fontId="40" fillId="0" borderId="83" xfId="8" applyNumberFormat="1" applyFont="1" applyFill="1" applyBorder="1" applyAlignment="1">
      <alignment vertical="center" shrinkToFit="1" readingOrder="1"/>
    </xf>
    <xf numFmtId="180" fontId="40" fillId="0" borderId="32" xfId="7" applyNumberFormat="1" applyFont="1" applyFill="1" applyBorder="1" applyAlignment="1">
      <alignment vertical="center" shrinkToFit="1" readingOrder="1"/>
    </xf>
    <xf numFmtId="180" fontId="40" fillId="0" borderId="86" xfId="7" applyNumberFormat="1" applyFont="1" applyFill="1" applyBorder="1" applyAlignment="1">
      <alignment vertical="center" shrinkToFit="1" readingOrder="1"/>
    </xf>
    <xf numFmtId="180" fontId="40" fillId="0" borderId="36" xfId="7" applyNumberFormat="1" applyFont="1" applyFill="1" applyBorder="1" applyAlignment="1">
      <alignment vertical="center" shrinkToFit="1" readingOrder="1"/>
    </xf>
    <xf numFmtId="180" fontId="40" fillId="0" borderId="87" xfId="7" applyNumberFormat="1" applyFont="1" applyFill="1" applyBorder="1" applyAlignment="1">
      <alignment vertical="center" shrinkToFit="1" readingOrder="1"/>
    </xf>
    <xf numFmtId="180" fontId="40" fillId="0" borderId="35" xfId="7" applyNumberFormat="1" applyFont="1" applyFill="1" applyBorder="1" applyAlignment="1">
      <alignment vertical="center" shrinkToFit="1" readingOrder="1"/>
    </xf>
    <xf numFmtId="180" fontId="40" fillId="0" borderId="88" xfId="7" applyNumberFormat="1" applyFont="1" applyFill="1" applyBorder="1" applyAlignment="1">
      <alignment vertical="center" shrinkToFit="1" readingOrder="1"/>
    </xf>
    <xf numFmtId="180" fontId="40" fillId="0" borderId="89" xfId="7" applyNumberFormat="1" applyFont="1" applyFill="1" applyBorder="1" applyAlignment="1">
      <alignment vertical="center" shrinkToFit="1" readingOrder="1"/>
    </xf>
    <xf numFmtId="180" fontId="40" fillId="0" borderId="6" xfId="7" applyNumberFormat="1" applyFont="1" applyFill="1" applyBorder="1" applyAlignment="1">
      <alignment vertical="center" shrinkToFit="1" readingOrder="1"/>
    </xf>
    <xf numFmtId="0" fontId="40" fillId="0" borderId="78" xfId="6" applyFont="1" applyFill="1" applyBorder="1" applyAlignment="1">
      <alignment horizontal="left" vertical="center" wrapText="1" readingOrder="1"/>
    </xf>
    <xf numFmtId="180" fontId="41" fillId="3" borderId="79" xfId="7" applyNumberFormat="1" applyFont="1" applyFill="1" applyBorder="1" applyAlignment="1">
      <alignment vertical="center" shrinkToFit="1" readingOrder="1"/>
    </xf>
    <xf numFmtId="180" fontId="41" fillId="3" borderId="78" xfId="7" applyNumberFormat="1" applyFont="1" applyFill="1" applyBorder="1" applyAlignment="1">
      <alignment vertical="center" shrinkToFit="1" readingOrder="1"/>
    </xf>
    <xf numFmtId="0" fontId="40" fillId="0" borderId="36" xfId="6" applyFont="1" applyFill="1" applyBorder="1" applyAlignment="1">
      <alignment horizontal="center" vertical="center" wrapText="1" readingOrder="1"/>
    </xf>
    <xf numFmtId="0" fontId="40" fillId="0" borderId="89" xfId="6" applyFont="1" applyFill="1" applyBorder="1" applyAlignment="1">
      <alignment horizontal="left" vertical="center" wrapText="1" readingOrder="1"/>
    </xf>
    <xf numFmtId="180" fontId="40" fillId="0" borderId="35" xfId="8" applyNumberFormat="1" applyFont="1" applyFill="1" applyBorder="1" applyAlignment="1">
      <alignment vertical="center" shrinkToFit="1" readingOrder="1"/>
    </xf>
    <xf numFmtId="180" fontId="40" fillId="0" borderId="88" xfId="8" applyNumberFormat="1" applyFont="1" applyFill="1" applyBorder="1" applyAlignment="1">
      <alignment vertical="center" shrinkToFit="1" readingOrder="1"/>
    </xf>
    <xf numFmtId="180" fontId="40" fillId="0" borderId="87" xfId="8" applyNumberFormat="1" applyFont="1" applyFill="1" applyBorder="1" applyAlignment="1">
      <alignment vertical="center" shrinkToFit="1" readingOrder="1"/>
    </xf>
    <xf numFmtId="180" fontId="40" fillId="0" borderId="89" xfId="8" applyNumberFormat="1" applyFont="1" applyFill="1" applyBorder="1" applyAlignment="1">
      <alignment vertical="center" shrinkToFit="1" readingOrder="1"/>
    </xf>
    <xf numFmtId="180" fontId="40" fillId="0" borderId="36" xfId="8" applyNumberFormat="1" applyFont="1" applyFill="1" applyBorder="1" applyAlignment="1">
      <alignment vertical="center" shrinkToFit="1" readingOrder="1"/>
    </xf>
    <xf numFmtId="0" fontId="40" fillId="0" borderId="25" xfId="6" applyFont="1" applyFill="1" applyBorder="1" applyAlignment="1">
      <alignment horizontal="center" vertical="center" wrapText="1" readingOrder="1"/>
    </xf>
    <xf numFmtId="0" fontId="40" fillId="0" borderId="26" xfId="6" applyFont="1" applyFill="1" applyBorder="1" applyAlignment="1">
      <alignment horizontal="left" vertical="center" wrapText="1" readingOrder="1"/>
    </xf>
    <xf numFmtId="180" fontId="40" fillId="0" borderId="25" xfId="7" applyNumberFormat="1" applyFont="1" applyFill="1" applyBorder="1" applyAlignment="1">
      <alignment vertical="center" shrinkToFit="1" readingOrder="1"/>
    </xf>
    <xf numFmtId="180" fontId="40" fillId="0" borderId="24" xfId="7" applyNumberFormat="1" applyFont="1" applyFill="1" applyBorder="1" applyAlignment="1">
      <alignment vertical="center" shrinkToFit="1" readingOrder="1"/>
    </xf>
    <xf numFmtId="180" fontId="40" fillId="0" borderId="23" xfId="8" applyNumberFormat="1" applyFont="1" applyFill="1" applyBorder="1" applyAlignment="1">
      <alignment vertical="center" shrinkToFit="1" readingOrder="1"/>
    </xf>
    <xf numFmtId="180" fontId="40" fillId="0" borderId="27" xfId="8" applyNumberFormat="1" applyFont="1" applyFill="1" applyBorder="1" applyAlignment="1">
      <alignment vertical="center" shrinkToFit="1" readingOrder="1"/>
    </xf>
    <xf numFmtId="180" fontId="40" fillId="0" borderId="24" xfId="8" applyNumberFormat="1" applyFont="1" applyFill="1" applyBorder="1" applyAlignment="1">
      <alignment vertical="center" shrinkToFit="1" readingOrder="1"/>
    </xf>
    <xf numFmtId="180" fontId="40" fillId="0" borderId="26" xfId="8" applyNumberFormat="1" applyFont="1" applyFill="1" applyBorder="1" applyAlignment="1">
      <alignment vertical="center" shrinkToFit="1" readingOrder="1"/>
    </xf>
    <xf numFmtId="180" fontId="40" fillId="0" borderId="25" xfId="8" applyNumberFormat="1" applyFont="1" applyFill="1" applyBorder="1" applyAlignment="1">
      <alignment vertical="center" shrinkToFit="1" readingOrder="1"/>
    </xf>
    <xf numFmtId="180" fontId="40" fillId="0" borderId="26" xfId="7" applyNumberFormat="1" applyFont="1" applyFill="1" applyBorder="1" applyAlignment="1">
      <alignment vertical="center" shrinkToFit="1" readingOrder="1"/>
    </xf>
    <xf numFmtId="180" fontId="40" fillId="0" borderId="90" xfId="7" applyNumberFormat="1" applyFont="1" applyFill="1" applyBorder="1" applyAlignment="1">
      <alignment vertical="center" shrinkToFit="1" readingOrder="1"/>
    </xf>
    <xf numFmtId="180" fontId="40" fillId="0" borderId="64" xfId="7" applyNumberFormat="1" applyFont="1" applyFill="1" applyBorder="1" applyAlignment="1">
      <alignment vertical="center" shrinkToFit="1" readingOrder="1"/>
    </xf>
    <xf numFmtId="180" fontId="40" fillId="0" borderId="91" xfId="7" applyNumberFormat="1" applyFont="1" applyFill="1" applyBorder="1" applyAlignment="1">
      <alignment vertical="center" shrinkToFit="1" readingOrder="1"/>
    </xf>
    <xf numFmtId="180" fontId="40" fillId="0" borderId="65" xfId="7" applyNumberFormat="1" applyFont="1" applyFill="1" applyBorder="1" applyAlignment="1">
      <alignment vertical="center" shrinkToFit="1" readingOrder="1"/>
    </xf>
    <xf numFmtId="180" fontId="40" fillId="0" borderId="63" xfId="7" applyNumberFormat="1" applyFont="1" applyFill="1" applyBorder="1" applyAlignment="1">
      <alignment vertical="center" shrinkToFit="1" readingOrder="1"/>
    </xf>
    <xf numFmtId="180" fontId="40" fillId="0" borderId="66" xfId="7" applyNumberFormat="1" applyFont="1" applyFill="1" applyBorder="1" applyAlignment="1">
      <alignment vertical="center" shrinkToFit="1" readingOrder="1"/>
    </xf>
    <xf numFmtId="180" fontId="40" fillId="0" borderId="5" xfId="7" applyNumberFormat="1" applyFont="1" applyFill="1" applyBorder="1" applyAlignment="1">
      <alignment vertical="center" shrinkToFit="1" readingOrder="1"/>
    </xf>
    <xf numFmtId="0" fontId="40" fillId="0" borderId="72" xfId="6" applyFont="1" applyFill="1" applyBorder="1" applyAlignment="1">
      <alignment horizontal="center" vertical="center" wrapText="1" readingOrder="1"/>
    </xf>
    <xf numFmtId="0" fontId="40" fillId="0" borderId="74" xfId="6" applyFont="1" applyFill="1" applyBorder="1" applyAlignment="1">
      <alignment horizontal="left" vertical="center" wrapText="1" readingOrder="1"/>
    </xf>
    <xf numFmtId="180" fontId="40" fillId="0" borderId="72" xfId="7" applyNumberFormat="1" applyFont="1" applyFill="1" applyBorder="1" applyAlignment="1">
      <alignment vertical="center" shrinkToFit="1" readingOrder="1"/>
    </xf>
    <xf numFmtId="180" fontId="40" fillId="0" borderId="73" xfId="7" applyNumberFormat="1" applyFont="1" applyFill="1" applyBorder="1" applyAlignment="1">
      <alignment vertical="center" shrinkToFit="1" readingOrder="1"/>
    </xf>
    <xf numFmtId="180" fontId="40" fillId="0" borderId="75" xfId="7" applyNumberFormat="1" applyFont="1" applyFill="1" applyBorder="1" applyAlignment="1">
      <alignment vertical="center" shrinkToFit="1" readingOrder="1"/>
    </xf>
    <xf numFmtId="180" fontId="40" fillId="0" borderId="76" xfId="7" applyNumberFormat="1" applyFont="1" applyFill="1" applyBorder="1" applyAlignment="1">
      <alignment vertical="center" shrinkToFit="1" readingOrder="1"/>
    </xf>
    <xf numFmtId="180" fontId="40" fillId="0" borderId="74" xfId="7" applyNumberFormat="1" applyFont="1" applyFill="1" applyBorder="1" applyAlignment="1">
      <alignment vertical="center" shrinkToFit="1" readingOrder="1"/>
    </xf>
    <xf numFmtId="180" fontId="40" fillId="0" borderId="1" xfId="7" applyNumberFormat="1" applyFont="1" applyFill="1" applyBorder="1" applyAlignment="1">
      <alignment vertical="center" shrinkToFit="1" readingOrder="1"/>
    </xf>
    <xf numFmtId="41" fontId="36" fillId="0" borderId="0" xfId="6" applyNumberFormat="1" applyFont="1" applyFill="1">
      <alignment vertical="center"/>
    </xf>
    <xf numFmtId="180" fontId="40" fillId="0" borderId="80" xfId="7" applyNumberFormat="1" applyFont="1" applyFill="1" applyBorder="1" applyAlignment="1">
      <alignment vertical="center" shrinkToFit="1" readingOrder="1"/>
    </xf>
    <xf numFmtId="180" fontId="40" fillId="0" borderId="81" xfId="7" applyNumberFormat="1" applyFont="1" applyFill="1" applyBorder="1" applyAlignment="1">
      <alignment vertical="center" shrinkToFit="1" readingOrder="1"/>
    </xf>
    <xf numFmtId="0" fontId="40" fillId="0" borderId="29" xfId="6" applyFont="1" applyFill="1" applyBorder="1" applyAlignment="1">
      <alignment horizontal="center" vertical="center" wrapText="1" readingOrder="1"/>
    </xf>
    <xf numFmtId="0" fontId="40" fillId="0" borderId="93" xfId="6" applyFont="1" applyFill="1" applyBorder="1" applyAlignment="1">
      <alignment horizontal="left" vertical="center" wrapText="1" readingOrder="1"/>
    </xf>
    <xf numFmtId="180" fontId="40" fillId="0" borderId="29" xfId="7" applyNumberFormat="1" applyFont="1" applyFill="1" applyBorder="1" applyAlignment="1">
      <alignment vertical="center" shrinkToFit="1" readingOrder="1"/>
    </xf>
    <xf numFmtId="180" fontId="40" fillId="0" borderId="94" xfId="8" applyNumberFormat="1" applyFont="1" applyFill="1" applyBorder="1" applyAlignment="1">
      <alignment vertical="center" shrinkToFit="1" readingOrder="1"/>
    </xf>
    <xf numFmtId="180" fontId="40" fillId="0" borderId="28" xfId="8" applyNumberFormat="1" applyFont="1" applyFill="1" applyBorder="1" applyAlignment="1">
      <alignment vertical="center" shrinkToFit="1" readingOrder="1"/>
    </xf>
    <xf numFmtId="180" fontId="40" fillId="0" borderId="95" xfId="8" applyNumberFormat="1" applyFont="1" applyFill="1" applyBorder="1" applyAlignment="1">
      <alignment vertical="center" shrinkToFit="1" readingOrder="1"/>
    </xf>
    <xf numFmtId="180" fontId="40" fillId="0" borderId="93" xfId="8" applyNumberFormat="1" applyFont="1" applyFill="1" applyBorder="1" applyAlignment="1">
      <alignment vertical="center" shrinkToFit="1" readingOrder="1"/>
    </xf>
    <xf numFmtId="180" fontId="40" fillId="0" borderId="29" xfId="8" applyNumberFormat="1" applyFont="1" applyFill="1" applyBorder="1" applyAlignment="1">
      <alignment vertical="center" shrinkToFit="1" readingOrder="1"/>
    </xf>
    <xf numFmtId="180" fontId="40" fillId="0" borderId="94" xfId="7" applyNumberFormat="1" applyFont="1" applyFill="1" applyBorder="1" applyAlignment="1">
      <alignment vertical="center" shrinkToFit="1" readingOrder="1"/>
    </xf>
    <xf numFmtId="180" fontId="40" fillId="0" borderId="28" xfId="7" applyNumberFormat="1" applyFont="1" applyFill="1" applyBorder="1" applyAlignment="1">
      <alignment vertical="center" shrinkToFit="1" readingOrder="1"/>
    </xf>
    <xf numFmtId="180" fontId="40" fillId="0" borderId="95" xfId="7" applyNumberFormat="1" applyFont="1" applyFill="1" applyBorder="1" applyAlignment="1">
      <alignment vertical="center" shrinkToFit="1" readingOrder="1"/>
    </xf>
    <xf numFmtId="180" fontId="40" fillId="0" borderId="93" xfId="7" applyNumberFormat="1" applyFont="1" applyFill="1" applyBorder="1" applyAlignment="1">
      <alignment vertical="center" shrinkToFit="1" readingOrder="1"/>
    </xf>
    <xf numFmtId="180" fontId="40" fillId="0" borderId="96" xfId="7" applyNumberFormat="1" applyFont="1" applyFill="1" applyBorder="1" applyAlignment="1">
      <alignment vertical="center" shrinkToFit="1" readingOrder="1"/>
    </xf>
    <xf numFmtId="0" fontId="36" fillId="0" borderId="40" xfId="6" applyFont="1" applyFill="1" applyBorder="1" applyAlignment="1">
      <alignment horizontal="left" vertical="center" wrapText="1" readingOrder="1"/>
    </xf>
    <xf numFmtId="180" fontId="40" fillId="0" borderId="39" xfId="7" applyNumberFormat="1" applyFont="1" applyFill="1" applyBorder="1" applyAlignment="1">
      <alignment vertical="center" shrinkToFit="1" readingOrder="1"/>
    </xf>
    <xf numFmtId="180" fontId="40" fillId="0" borderId="38" xfId="8" applyNumberFormat="1" applyFont="1" applyFill="1" applyBorder="1" applyAlignment="1">
      <alignment vertical="center" shrinkToFit="1" readingOrder="1"/>
    </xf>
    <xf numFmtId="180" fontId="40" fillId="0" borderId="37" xfId="8" applyNumberFormat="1" applyFont="1" applyFill="1" applyBorder="1" applyAlignment="1">
      <alignment vertical="center" shrinkToFit="1" readingOrder="1"/>
    </xf>
    <xf numFmtId="180" fontId="40" fillId="0" borderId="41" xfId="8" applyNumberFormat="1" applyFont="1" applyFill="1" applyBorder="1" applyAlignment="1">
      <alignment vertical="center" shrinkToFit="1" readingOrder="1"/>
    </xf>
    <xf numFmtId="180" fontId="40" fillId="0" borderId="40" xfId="8" applyNumberFormat="1" applyFont="1" applyFill="1" applyBorder="1" applyAlignment="1">
      <alignment vertical="center" shrinkToFit="1" readingOrder="1"/>
    </xf>
    <xf numFmtId="180" fontId="40" fillId="0" borderId="39" xfId="8" applyNumberFormat="1" applyFont="1" applyFill="1" applyBorder="1" applyAlignment="1">
      <alignment vertical="center" shrinkToFit="1" readingOrder="1"/>
    </xf>
    <xf numFmtId="180" fontId="40" fillId="0" borderId="41" xfId="7" applyNumberFormat="1" applyFont="1" applyFill="1" applyBorder="1" applyAlignment="1">
      <alignment vertical="center" shrinkToFit="1" readingOrder="1"/>
    </xf>
    <xf numFmtId="180" fontId="41" fillId="3" borderId="38" xfId="7" applyNumberFormat="1" applyFont="1" applyFill="1" applyBorder="1" applyAlignment="1">
      <alignment vertical="center" shrinkToFit="1" readingOrder="1"/>
    </xf>
    <xf numFmtId="180" fontId="41" fillId="3" borderId="40" xfId="7" applyNumberFormat="1" applyFont="1" applyFill="1" applyBorder="1" applyAlignment="1">
      <alignment vertical="center" shrinkToFit="1" readingOrder="1"/>
    </xf>
    <xf numFmtId="0" fontId="36" fillId="0" borderId="26" xfId="6" applyFont="1" applyFill="1" applyBorder="1" applyAlignment="1">
      <alignment horizontal="left" vertical="center" wrapText="1" readingOrder="1"/>
    </xf>
    <xf numFmtId="0" fontId="40" fillId="0" borderId="25" xfId="6" applyFont="1" applyFill="1" applyBorder="1" applyAlignment="1">
      <alignment horizontal="center" vertical="center" readingOrder="1"/>
    </xf>
    <xf numFmtId="180" fontId="40" fillId="0" borderId="23" xfId="7" applyNumberFormat="1" applyFont="1" applyFill="1" applyBorder="1" applyAlignment="1">
      <alignment vertical="center" shrinkToFit="1" readingOrder="1"/>
    </xf>
    <xf numFmtId="180" fontId="40" fillId="0" borderId="27" xfId="7" applyNumberFormat="1" applyFont="1" applyFill="1" applyBorder="1" applyAlignment="1">
      <alignment vertical="center" shrinkToFit="1" readingOrder="1"/>
    </xf>
    <xf numFmtId="180" fontId="36" fillId="0" borderId="24" xfId="6" applyNumberFormat="1" applyFont="1" applyFill="1" applyBorder="1" applyAlignment="1">
      <alignment vertical="center" shrinkToFit="1"/>
    </xf>
    <xf numFmtId="180" fontId="41" fillId="3" borderId="24" xfId="7" applyNumberFormat="1" applyFont="1" applyFill="1" applyBorder="1" applyAlignment="1">
      <alignment vertical="center" shrinkToFit="1" readingOrder="1"/>
    </xf>
    <xf numFmtId="0" fontId="40" fillId="0" borderId="83" xfId="6" applyFont="1" applyFill="1" applyBorder="1" applyAlignment="1">
      <alignment horizontal="center" vertical="center" readingOrder="1"/>
    </xf>
    <xf numFmtId="0" fontId="36" fillId="0" borderId="32" xfId="6" applyFont="1" applyFill="1" applyBorder="1" applyAlignment="1">
      <alignment horizontal="left" vertical="center" wrapText="1" readingOrder="1"/>
    </xf>
    <xf numFmtId="180" fontId="41" fillId="0" borderId="83" xfId="7" applyNumberFormat="1" applyFont="1" applyFill="1" applyBorder="1" applyAlignment="1">
      <alignment vertical="center" shrinkToFit="1" readingOrder="1"/>
    </xf>
    <xf numFmtId="180" fontId="42" fillId="0" borderId="84" xfId="7" applyNumberFormat="1" applyFont="1" applyFill="1" applyBorder="1" applyAlignment="1">
      <alignment vertical="center" shrinkToFit="1" readingOrder="1"/>
    </xf>
    <xf numFmtId="180" fontId="42" fillId="0" borderId="38" xfId="7" applyNumberFormat="1" applyFont="1" applyFill="1" applyBorder="1" applyAlignment="1">
      <alignment vertical="center" shrinkToFit="1" readingOrder="1"/>
    </xf>
    <xf numFmtId="180" fontId="40" fillId="0" borderId="40" xfId="7" applyNumberFormat="1" applyFont="1" applyFill="1" applyBorder="1" applyAlignment="1">
      <alignment vertical="center" shrinkToFit="1" readingOrder="1"/>
    </xf>
    <xf numFmtId="180" fontId="40" fillId="0" borderId="99" xfId="7" applyNumberFormat="1" applyFont="1" applyFill="1" applyBorder="1" applyAlignment="1">
      <alignment vertical="center" shrinkToFit="1" readingOrder="1"/>
    </xf>
    <xf numFmtId="41" fontId="41" fillId="0" borderId="0" xfId="6" applyNumberFormat="1" applyFont="1" applyFill="1">
      <alignment vertical="center"/>
    </xf>
    <xf numFmtId="0" fontId="36" fillId="0" borderId="93" xfId="6" applyFont="1" applyFill="1" applyBorder="1" applyAlignment="1">
      <alignment horizontal="left" vertical="center" wrapText="1" readingOrder="1"/>
    </xf>
    <xf numFmtId="180" fontId="42" fillId="0" borderId="28" xfId="8" applyNumberFormat="1" applyFont="1" applyFill="1" applyBorder="1" applyAlignment="1">
      <alignment vertical="center" shrinkToFit="1" readingOrder="1"/>
    </xf>
    <xf numFmtId="180" fontId="36" fillId="0" borderId="95" xfId="9" applyNumberFormat="1" applyFont="1" applyFill="1" applyBorder="1" applyAlignment="1">
      <alignment vertical="center" shrinkToFit="1"/>
    </xf>
    <xf numFmtId="0" fontId="40" fillId="0" borderId="77" xfId="6" quotePrefix="1" applyFont="1" applyFill="1" applyBorder="1" applyAlignment="1">
      <alignment horizontal="center" vertical="center" wrapText="1" readingOrder="1"/>
    </xf>
    <xf numFmtId="180" fontId="36" fillId="0" borderId="78" xfId="8" applyNumberFormat="1" applyFont="1" applyFill="1" applyBorder="1" applyAlignment="1">
      <alignment vertical="center" shrinkToFit="1" readingOrder="1"/>
    </xf>
    <xf numFmtId="180" fontId="36" fillId="0" borderId="77" xfId="8" applyNumberFormat="1" applyFont="1" applyFill="1" applyBorder="1" applyAlignment="1">
      <alignment vertical="center" shrinkToFit="1" readingOrder="1"/>
    </xf>
    <xf numFmtId="180" fontId="36" fillId="0" borderId="79" xfId="8" applyNumberFormat="1" applyFont="1" applyFill="1" applyBorder="1" applyAlignment="1">
      <alignment vertical="center" shrinkToFit="1" readingOrder="1"/>
    </xf>
    <xf numFmtId="180" fontId="36" fillId="0" borderId="80" xfId="8" applyNumberFormat="1" applyFont="1" applyFill="1" applyBorder="1" applyAlignment="1">
      <alignment vertical="center" shrinkToFit="1" readingOrder="1"/>
    </xf>
    <xf numFmtId="181" fontId="36" fillId="0" borderId="0" xfId="6" applyNumberFormat="1" applyFont="1" applyFill="1">
      <alignment vertical="center"/>
    </xf>
    <xf numFmtId="180" fontId="36" fillId="0" borderId="26" xfId="8" applyNumberFormat="1" applyFont="1" applyFill="1" applyBorder="1" applyAlignment="1">
      <alignment vertical="center" shrinkToFit="1" readingOrder="1"/>
    </xf>
    <xf numFmtId="180" fontId="36" fillId="0" borderId="25" xfId="8" applyNumberFormat="1" applyFont="1" applyFill="1" applyBorder="1" applyAlignment="1">
      <alignment vertical="center" shrinkToFit="1" readingOrder="1"/>
    </xf>
    <xf numFmtId="180" fontId="36" fillId="0" borderId="23" xfId="8" applyNumberFormat="1" applyFont="1" applyFill="1" applyBorder="1" applyAlignment="1">
      <alignment vertical="center" shrinkToFit="1" readingOrder="1"/>
    </xf>
    <xf numFmtId="180" fontId="41" fillId="3" borderId="24" xfId="8" applyNumberFormat="1" applyFont="1" applyFill="1" applyBorder="1" applyAlignment="1">
      <alignment vertical="center" shrinkToFit="1" readingOrder="1"/>
    </xf>
    <xf numFmtId="180" fontId="41" fillId="3" borderId="26" xfId="7" applyNumberFormat="1" applyFont="1" applyFill="1" applyBorder="1" applyAlignment="1">
      <alignment vertical="center" shrinkToFit="1" readingOrder="1"/>
    </xf>
    <xf numFmtId="180" fontId="36" fillId="0" borderId="26" xfId="7" applyNumberFormat="1" applyFont="1" applyFill="1" applyBorder="1" applyAlignment="1">
      <alignment vertical="center" shrinkToFit="1" readingOrder="1"/>
    </xf>
    <xf numFmtId="180" fontId="36" fillId="0" borderId="24" xfId="7" applyNumberFormat="1" applyFont="1" applyFill="1" applyBorder="1" applyAlignment="1">
      <alignment vertical="center" shrinkToFit="1" readingOrder="1"/>
    </xf>
    <xf numFmtId="180" fontId="36" fillId="0" borderId="23" xfId="7" applyNumberFormat="1" applyFont="1" applyFill="1" applyBorder="1" applyAlignment="1">
      <alignment vertical="center" shrinkToFit="1" readingOrder="1"/>
    </xf>
    <xf numFmtId="180" fontId="41" fillId="0" borderId="24" xfId="7" applyNumberFormat="1" applyFont="1" applyFill="1" applyBorder="1" applyAlignment="1">
      <alignment vertical="center" shrinkToFit="1" readingOrder="1"/>
    </xf>
    <xf numFmtId="180" fontId="41" fillId="0" borderId="26" xfId="7" applyNumberFormat="1" applyFont="1" applyFill="1" applyBorder="1" applyAlignment="1">
      <alignment vertical="center" shrinkToFit="1" readingOrder="1"/>
    </xf>
    <xf numFmtId="180" fontId="40" fillId="0" borderId="71" xfId="7" applyNumberFormat="1" applyFont="1" applyFill="1" applyBorder="1" applyAlignment="1">
      <alignment vertical="center" shrinkToFit="1" readingOrder="1"/>
    </xf>
    <xf numFmtId="180" fontId="40" fillId="0" borderId="85" xfId="7" applyNumberFormat="1" applyFont="1" applyFill="1" applyBorder="1" applyAlignment="1">
      <alignment vertical="center" shrinkToFit="1" readingOrder="1"/>
    </xf>
    <xf numFmtId="180" fontId="36" fillId="0" borderId="32" xfId="7" applyNumberFormat="1" applyFont="1" applyFill="1" applyBorder="1" applyAlignment="1">
      <alignment vertical="center" shrinkToFit="1" readingOrder="1"/>
    </xf>
    <xf numFmtId="180" fontId="36" fillId="0" borderId="83" xfId="7" applyNumberFormat="1" applyFont="1" applyFill="1" applyBorder="1" applyAlignment="1">
      <alignment vertical="center" shrinkToFit="1" readingOrder="1"/>
    </xf>
    <xf numFmtId="180" fontId="36" fillId="0" borderId="84" xfId="7" applyNumberFormat="1" applyFont="1" applyFill="1" applyBorder="1" applyAlignment="1">
      <alignment vertical="center" shrinkToFit="1" readingOrder="1"/>
    </xf>
    <xf numFmtId="180" fontId="36" fillId="0" borderId="71" xfId="7" applyNumberFormat="1" applyFont="1" applyFill="1" applyBorder="1" applyAlignment="1">
      <alignment vertical="center" shrinkToFit="1" readingOrder="1"/>
    </xf>
    <xf numFmtId="180" fontId="41" fillId="3" borderId="84" xfId="7" applyNumberFormat="1" applyFont="1" applyFill="1" applyBorder="1" applyAlignment="1">
      <alignment vertical="center" shrinkToFit="1" readingOrder="1"/>
    </xf>
    <xf numFmtId="180" fontId="41" fillId="3" borderId="32" xfId="7" applyNumberFormat="1" applyFont="1" applyFill="1" applyBorder="1" applyAlignment="1">
      <alignment vertical="center" shrinkToFit="1" readingOrder="1"/>
    </xf>
    <xf numFmtId="180" fontId="36" fillId="0" borderId="64" xfId="7" applyNumberFormat="1" applyFont="1" applyFill="1" applyBorder="1" applyAlignment="1">
      <alignment vertical="center" shrinkToFit="1"/>
    </xf>
    <xf numFmtId="180" fontId="36" fillId="0" borderId="91" xfId="7" applyNumberFormat="1" applyFont="1" applyFill="1" applyBorder="1" applyAlignment="1">
      <alignment vertical="center" shrinkToFit="1"/>
    </xf>
    <xf numFmtId="180" fontId="36" fillId="0" borderId="65" xfId="7" applyNumberFormat="1" applyFont="1" applyFill="1" applyBorder="1" applyAlignment="1">
      <alignment vertical="center" shrinkToFit="1"/>
    </xf>
    <xf numFmtId="180" fontId="36" fillId="0" borderId="63" xfId="7" applyNumberFormat="1" applyFont="1" applyFill="1" applyBorder="1" applyAlignment="1">
      <alignment vertical="center" shrinkToFit="1"/>
    </xf>
    <xf numFmtId="180" fontId="36" fillId="0" borderId="66" xfId="7" applyNumberFormat="1" applyFont="1" applyFill="1" applyBorder="1" applyAlignment="1">
      <alignment vertical="center" shrinkToFit="1"/>
    </xf>
    <xf numFmtId="180" fontId="36" fillId="0" borderId="5" xfId="7" applyNumberFormat="1" applyFont="1" applyFill="1" applyBorder="1" applyAlignment="1">
      <alignment vertical="center" shrinkToFit="1"/>
    </xf>
    <xf numFmtId="0" fontId="43" fillId="0" borderId="0" xfId="6" applyFont="1" applyFill="1" applyBorder="1" applyAlignment="1">
      <alignment horizontal="left" vertical="center" readingOrder="1"/>
    </xf>
    <xf numFmtId="0" fontId="42" fillId="0" borderId="0" xfId="6" applyFont="1" applyFill="1" applyBorder="1" applyAlignment="1">
      <alignment horizontal="center" vertical="center" readingOrder="1"/>
    </xf>
    <xf numFmtId="41" fontId="42" fillId="0" borderId="0" xfId="7" applyFont="1" applyFill="1" applyBorder="1">
      <alignment vertical="center"/>
    </xf>
    <xf numFmtId="0" fontId="42" fillId="0" borderId="0" xfId="6" applyFont="1" applyFill="1" applyBorder="1" applyAlignment="1">
      <alignment horizontal="left" vertical="center" readingOrder="1"/>
    </xf>
    <xf numFmtId="0" fontId="44" fillId="0" borderId="0" xfId="6" applyFont="1" applyFill="1" applyBorder="1" applyAlignment="1">
      <alignment horizontal="left" vertical="center" readingOrder="1"/>
    </xf>
    <xf numFmtId="43" fontId="36" fillId="0" borderId="0" xfId="6" applyNumberFormat="1" applyFont="1" applyFill="1">
      <alignment vertical="center"/>
    </xf>
    <xf numFmtId="0" fontId="45" fillId="0" borderId="0" xfId="6" applyFont="1" applyFill="1" applyBorder="1">
      <alignment vertical="center"/>
    </xf>
    <xf numFmtId="0" fontId="36" fillId="0" borderId="0" xfId="6" applyFont="1" applyFill="1" applyBorder="1">
      <alignment vertical="center"/>
    </xf>
    <xf numFmtId="0" fontId="36" fillId="0" borderId="20" xfId="6" applyFont="1" applyFill="1" applyBorder="1" applyAlignment="1">
      <alignment horizontal="center" vertical="center" wrapText="1" readingOrder="1"/>
    </xf>
    <xf numFmtId="41" fontId="40" fillId="0" borderId="18" xfId="7" applyFont="1" applyFill="1" applyBorder="1" applyAlignment="1">
      <alignment horizontal="center" vertical="center" wrapText="1" readingOrder="1"/>
    </xf>
    <xf numFmtId="41" fontId="40" fillId="0" borderId="17" xfId="7" applyFont="1" applyFill="1" applyBorder="1" applyAlignment="1">
      <alignment horizontal="center" vertical="center" wrapText="1" readingOrder="1"/>
    </xf>
    <xf numFmtId="41" fontId="40" fillId="0" borderId="21" xfId="7" applyFont="1" applyFill="1" applyBorder="1" applyAlignment="1">
      <alignment horizontal="center" vertical="center" wrapText="1" readingOrder="1"/>
    </xf>
    <xf numFmtId="41" fontId="40" fillId="0" borderId="20" xfId="7" applyFont="1" applyFill="1" applyBorder="1" applyAlignment="1">
      <alignment horizontal="center" vertical="center" wrapText="1" readingOrder="1"/>
    </xf>
    <xf numFmtId="41" fontId="40" fillId="0" borderId="19" xfId="7" applyFont="1" applyFill="1" applyBorder="1" applyAlignment="1">
      <alignment horizontal="center" vertical="center" wrapText="1" readingOrder="1"/>
    </xf>
    <xf numFmtId="41" fontId="40" fillId="0" borderId="7" xfId="7" applyFont="1" applyFill="1" applyBorder="1" applyAlignment="1">
      <alignment horizontal="center" vertical="center" wrapText="1" readingOrder="1"/>
    </xf>
    <xf numFmtId="0" fontId="40" fillId="0" borderId="78" xfId="6" applyFont="1" applyFill="1" applyBorder="1" applyAlignment="1">
      <alignment horizontal="left" vertical="center" readingOrder="1"/>
    </xf>
    <xf numFmtId="180" fontId="36" fillId="0" borderId="79" xfId="7" applyNumberFormat="1" applyFont="1" applyFill="1" applyBorder="1" applyAlignment="1">
      <alignment vertical="center" shrinkToFit="1" readingOrder="1"/>
    </xf>
    <xf numFmtId="0" fontId="40" fillId="0" borderId="93" xfId="6" applyFont="1" applyFill="1" applyBorder="1" applyAlignment="1">
      <alignment horizontal="left" vertical="center" readingOrder="1"/>
    </xf>
    <xf numFmtId="180" fontId="36" fillId="0" borderId="94" xfId="7" applyNumberFormat="1" applyFont="1" applyFill="1" applyBorder="1" applyAlignment="1">
      <alignment vertical="center" shrinkToFit="1" readingOrder="1"/>
    </xf>
    <xf numFmtId="0" fontId="36" fillId="0" borderId="78" xfId="6" applyFont="1" applyFill="1" applyBorder="1" applyAlignment="1">
      <alignment horizontal="left" vertical="center" readingOrder="1"/>
    </xf>
    <xf numFmtId="0" fontId="36" fillId="0" borderId="40" xfId="6" applyFont="1" applyFill="1" applyBorder="1" applyAlignment="1">
      <alignment horizontal="left" vertical="center" readingOrder="1"/>
    </xf>
    <xf numFmtId="180" fontId="40" fillId="3" borderId="38" xfId="7" applyNumberFormat="1" applyFont="1" applyFill="1" applyBorder="1" applyAlignment="1">
      <alignment vertical="center" shrinkToFit="1" readingOrder="1"/>
    </xf>
    <xf numFmtId="180" fontId="40" fillId="3" borderId="40" xfId="7" applyNumberFormat="1" applyFont="1" applyFill="1" applyBorder="1" applyAlignment="1">
      <alignment vertical="center" shrinkToFit="1" readingOrder="1"/>
    </xf>
    <xf numFmtId="0" fontId="36" fillId="0" borderId="26" xfId="6" applyFont="1" applyFill="1" applyBorder="1" applyAlignment="1">
      <alignment horizontal="left" vertical="center" readingOrder="1"/>
    </xf>
    <xf numFmtId="0" fontId="36" fillId="0" borderId="32" xfId="6" applyFont="1" applyFill="1" applyBorder="1" applyAlignment="1">
      <alignment horizontal="left" vertical="center" readingOrder="1"/>
    </xf>
    <xf numFmtId="0" fontId="36" fillId="0" borderId="93" xfId="6" applyFont="1" applyFill="1" applyBorder="1" applyAlignment="1">
      <alignment horizontal="left" vertical="center" readingOrder="1"/>
    </xf>
    <xf numFmtId="180" fontId="36" fillId="0" borderId="78" xfId="7" applyNumberFormat="1" applyFont="1" applyFill="1" applyBorder="1" applyAlignment="1">
      <alignment vertical="center" shrinkToFit="1" readingOrder="1"/>
    </xf>
    <xf numFmtId="180" fontId="36" fillId="0" borderId="77" xfId="7" applyNumberFormat="1" applyFont="1" applyFill="1" applyBorder="1" applyAlignment="1">
      <alignment vertical="center" shrinkToFit="1" readingOrder="1"/>
    </xf>
    <xf numFmtId="180" fontId="36" fillId="0" borderId="80" xfId="7" applyNumberFormat="1" applyFont="1" applyFill="1" applyBorder="1" applyAlignment="1">
      <alignment vertical="center" shrinkToFit="1" readingOrder="1"/>
    </xf>
    <xf numFmtId="180" fontId="36" fillId="0" borderId="81" xfId="7" applyNumberFormat="1" applyFont="1" applyFill="1" applyBorder="1" applyAlignment="1">
      <alignment vertical="center" shrinkToFit="1" readingOrder="1"/>
    </xf>
    <xf numFmtId="180" fontId="40" fillId="3" borderId="24" xfId="8" applyNumberFormat="1" applyFont="1" applyFill="1" applyBorder="1" applyAlignment="1">
      <alignment vertical="center" shrinkToFit="1" readingOrder="1"/>
    </xf>
    <xf numFmtId="180" fontId="40" fillId="3" borderId="26" xfId="7" applyNumberFormat="1" applyFont="1" applyFill="1" applyBorder="1" applyAlignment="1">
      <alignment vertical="center" shrinkToFit="1" readingOrder="1"/>
    </xf>
    <xf numFmtId="180" fontId="40" fillId="3" borderId="84" xfId="7" applyNumberFormat="1" applyFont="1" applyFill="1" applyBorder="1" applyAlignment="1">
      <alignment vertical="center" shrinkToFit="1" readingOrder="1"/>
    </xf>
    <xf numFmtId="180" fontId="40" fillId="3" borderId="32" xfId="7" applyNumberFormat="1" applyFont="1" applyFill="1" applyBorder="1" applyAlignment="1">
      <alignment vertical="center" shrinkToFit="1" readingOrder="1"/>
    </xf>
    <xf numFmtId="180" fontId="36" fillId="15" borderId="72" xfId="7" applyNumberFormat="1" applyFont="1" applyFill="1" applyBorder="1" applyAlignment="1">
      <alignment vertical="center" shrinkToFit="1"/>
    </xf>
    <xf numFmtId="180" fontId="36" fillId="15" borderId="73" xfId="7" applyNumberFormat="1" applyFont="1" applyFill="1" applyBorder="1" applyAlignment="1">
      <alignment vertical="center" shrinkToFit="1"/>
    </xf>
    <xf numFmtId="180" fontId="36" fillId="15" borderId="75" xfId="7" applyNumberFormat="1" applyFont="1" applyFill="1" applyBorder="1" applyAlignment="1">
      <alignment vertical="center" shrinkToFit="1"/>
    </xf>
    <xf numFmtId="180" fontId="36" fillId="15" borderId="76" xfId="7" applyNumberFormat="1" applyFont="1" applyFill="1" applyBorder="1" applyAlignment="1">
      <alignment vertical="center" shrinkToFit="1"/>
    </xf>
    <xf numFmtId="180" fontId="36" fillId="15" borderId="74" xfId="7" applyNumberFormat="1" applyFont="1" applyFill="1" applyBorder="1" applyAlignment="1">
      <alignment vertical="center" shrinkToFit="1"/>
    </xf>
    <xf numFmtId="180" fontId="36" fillId="15" borderId="1" xfId="7" applyNumberFormat="1" applyFont="1" applyFill="1" applyBorder="1" applyAlignment="1">
      <alignment vertical="center" shrinkToFit="1"/>
    </xf>
    <xf numFmtId="180" fontId="42" fillId="0" borderId="64" xfId="7" applyNumberFormat="1" applyFont="1" applyFill="1" applyBorder="1" applyAlignment="1">
      <alignment vertical="center" shrinkToFit="1"/>
    </xf>
    <xf numFmtId="180" fontId="42" fillId="0" borderId="91" xfId="7" applyNumberFormat="1" applyFont="1" applyFill="1" applyBorder="1" applyAlignment="1">
      <alignment vertical="center" shrinkToFit="1"/>
    </xf>
    <xf numFmtId="180" fontId="42" fillId="0" borderId="65" xfId="7" applyNumberFormat="1" applyFont="1" applyFill="1" applyBorder="1" applyAlignment="1">
      <alignment vertical="center" shrinkToFit="1"/>
    </xf>
    <xf numFmtId="180" fontId="42" fillId="0" borderId="63" xfId="7" applyNumberFormat="1" applyFont="1" applyFill="1" applyBorder="1" applyAlignment="1">
      <alignment vertical="center" shrinkToFit="1"/>
    </xf>
    <xf numFmtId="180" fontId="42" fillId="0" borderId="66" xfId="7" applyNumberFormat="1" applyFont="1" applyFill="1" applyBorder="1" applyAlignment="1">
      <alignment vertical="center" shrinkToFit="1"/>
    </xf>
    <xf numFmtId="180" fontId="42" fillId="0" borderId="5" xfId="7" applyNumberFormat="1" applyFont="1" applyFill="1" applyBorder="1" applyAlignment="1">
      <alignment vertical="center" shrinkToFit="1"/>
    </xf>
    <xf numFmtId="0" fontId="39" fillId="0" borderId="0" xfId="6" applyFont="1" applyFill="1">
      <alignment vertical="center"/>
    </xf>
    <xf numFmtId="41" fontId="42" fillId="0" borderId="0" xfId="7" applyFont="1" applyFill="1">
      <alignment vertical="center"/>
    </xf>
    <xf numFmtId="0" fontId="41" fillId="0" borderId="0" xfId="6" applyFont="1" applyFill="1">
      <alignment vertical="center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9" fillId="0" borderId="1" xfId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9" borderId="1" xfId="2" applyFont="1" applyFill="1" applyBorder="1" applyAlignment="1">
      <alignment horizontal="right" vertical="center" wrapText="1" readingOrder="1"/>
    </xf>
    <xf numFmtId="41" fontId="5" fillId="5" borderId="1" xfId="1" applyFont="1" applyFill="1" applyBorder="1" applyAlignment="1">
      <alignment horizontal="center" vertical="center" wrapText="1" readingOrder="1"/>
    </xf>
    <xf numFmtId="41" fontId="48" fillId="4" borderId="1" xfId="1" applyFont="1" applyFill="1" applyBorder="1" applyAlignment="1">
      <alignment horizontal="right" vertical="center" wrapText="1" readingOrder="1"/>
    </xf>
    <xf numFmtId="0" fontId="0" fillId="0" borderId="1" xfId="0" applyBorder="1">
      <alignment vertical="center"/>
    </xf>
    <xf numFmtId="0" fontId="8" fillId="9" borderId="6" xfId="0" applyFont="1" applyFill="1" applyBorder="1" applyAlignment="1">
      <alignment horizontal="center" vertical="center" wrapText="1" readingOrder="1"/>
    </xf>
    <xf numFmtId="0" fontId="0" fillId="0" borderId="0" xfId="0" applyFill="1">
      <alignment vertical="center"/>
    </xf>
    <xf numFmtId="41" fontId="49" fillId="0" borderId="0" xfId="1" applyFont="1" applyFill="1">
      <alignment vertical="center"/>
    </xf>
    <xf numFmtId="41" fontId="49" fillId="3" borderId="1" xfId="1" applyFont="1" applyFill="1" applyBorder="1">
      <alignment vertical="center"/>
    </xf>
    <xf numFmtId="41" fontId="8" fillId="16" borderId="1" xfId="2" applyFont="1" applyFill="1" applyBorder="1" applyAlignment="1">
      <alignment horizontal="right" vertical="center" wrapText="1" readingOrder="1"/>
    </xf>
    <xf numFmtId="41" fontId="49" fillId="16" borderId="1" xfId="0" applyNumberFormat="1" applyFont="1" applyFill="1" applyBorder="1">
      <alignment vertical="center"/>
    </xf>
    <xf numFmtId="41" fontId="49" fillId="16" borderId="1" xfId="1" applyFont="1" applyFill="1" applyBorder="1">
      <alignment vertical="center"/>
    </xf>
    <xf numFmtId="41" fontId="49" fillId="16" borderId="0" xfId="0" applyNumberFormat="1" applyFont="1" applyFill="1">
      <alignment vertical="center"/>
    </xf>
    <xf numFmtId="182" fontId="0" fillId="0" borderId="0" xfId="0" applyNumberFormat="1">
      <alignment vertical="center"/>
    </xf>
    <xf numFmtId="182" fontId="0" fillId="0" borderId="8" xfId="0" applyNumberFormat="1" applyBorder="1">
      <alignment vertical="center"/>
    </xf>
    <xf numFmtId="41" fontId="49" fillId="0" borderId="0" xfId="1" applyFont="1">
      <alignment vertical="center"/>
    </xf>
    <xf numFmtId="182" fontId="49" fillId="0" borderId="0" xfId="0" applyNumberFormat="1" applyFont="1">
      <alignment vertical="center"/>
    </xf>
    <xf numFmtId="41" fontId="0" fillId="0" borderId="8" xfId="1" applyFont="1" applyBorder="1">
      <alignment vertical="center"/>
    </xf>
    <xf numFmtId="43" fontId="0" fillId="0" borderId="8" xfId="0" applyNumberFormat="1" applyBorder="1">
      <alignment vertical="center"/>
    </xf>
    <xf numFmtId="0" fontId="13" fillId="0" borderId="8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 readingOrder="1"/>
    </xf>
    <xf numFmtId="0" fontId="7" fillId="0" borderId="4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readingOrder="1"/>
    </xf>
    <xf numFmtId="0" fontId="9" fillId="0" borderId="5" xfId="0" applyFont="1" applyFill="1" applyBorder="1" applyAlignment="1">
      <alignment horizontal="center" vertical="center" readingOrder="1"/>
    </xf>
    <xf numFmtId="0" fontId="8" fillId="9" borderId="6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7" fillId="8" borderId="4" xfId="0" applyFont="1" applyFill="1" applyBorder="1" applyAlignment="1">
      <alignment horizontal="center" vertical="center" wrapText="1" readingOrder="1"/>
    </xf>
    <xf numFmtId="0" fontId="7" fillId="8" borderId="3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12" fillId="0" borderId="9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 readingOrder="1"/>
    </xf>
    <xf numFmtId="0" fontId="9" fillId="0" borderId="7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7" xfId="0" quotePrefix="1" applyFont="1" applyFill="1" applyBorder="1" applyAlignment="1">
      <alignment horizontal="center" vertical="center" wrapText="1" readingOrder="1"/>
    </xf>
    <xf numFmtId="0" fontId="8" fillId="0" borderId="6" xfId="0" quotePrefix="1" applyFont="1" applyFill="1" applyBorder="1" applyAlignment="1">
      <alignment horizontal="center" vertical="center" wrapText="1" readingOrder="1"/>
    </xf>
    <xf numFmtId="0" fontId="8" fillId="0" borderId="5" xfId="0" quotePrefix="1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3" xfId="0" applyFont="1" applyFill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47" xfId="0" applyFont="1" applyFill="1" applyBorder="1" applyAlignment="1">
      <alignment horizontal="center" vertical="center" wrapText="1" readingOrder="1"/>
    </xf>
    <xf numFmtId="0" fontId="8" fillId="0" borderId="48" xfId="0" applyFont="1" applyFill="1" applyBorder="1" applyAlignment="1">
      <alignment horizontal="center" vertical="center" wrapText="1" readingOrder="1"/>
    </xf>
    <xf numFmtId="0" fontId="9" fillId="0" borderId="68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 shrinkToFit="1"/>
    </xf>
    <xf numFmtId="0" fontId="9" fillId="0" borderId="34" xfId="0" applyFont="1" applyFill="1" applyBorder="1" applyAlignment="1">
      <alignment horizontal="center" vertical="center" shrinkToFit="1"/>
    </xf>
    <xf numFmtId="0" fontId="9" fillId="0" borderId="32" xfId="0" applyFont="1" applyFill="1" applyBorder="1" applyAlignment="1">
      <alignment horizontal="center" vertical="center" shrinkToFit="1"/>
    </xf>
    <xf numFmtId="0" fontId="9" fillId="0" borderId="31" xfId="0" applyFont="1" applyFill="1" applyBorder="1" applyAlignment="1">
      <alignment horizontal="center" vertical="center" shrinkToFit="1"/>
    </xf>
    <xf numFmtId="0" fontId="9" fillId="0" borderId="10" xfId="0" quotePrefix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center" vertical="center"/>
    </xf>
    <xf numFmtId="0" fontId="9" fillId="0" borderId="22" xfId="0" quotePrefix="1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 readingOrder="1"/>
    </xf>
    <xf numFmtId="0" fontId="9" fillId="0" borderId="44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 readingOrder="1"/>
    </xf>
    <xf numFmtId="0" fontId="9" fillId="0" borderId="43" xfId="0" applyFont="1" applyFill="1" applyBorder="1" applyAlignment="1">
      <alignment horizontal="center" vertical="center" shrinkToFit="1"/>
    </xf>
    <xf numFmtId="0" fontId="9" fillId="0" borderId="42" xfId="0" applyFont="1" applyFill="1" applyBorder="1" applyAlignment="1">
      <alignment horizontal="center" vertical="center" shrinkToFit="1"/>
    </xf>
    <xf numFmtId="0" fontId="40" fillId="0" borderId="66" xfId="6" applyFont="1" applyFill="1" applyBorder="1" applyAlignment="1">
      <alignment horizontal="center" vertical="center" readingOrder="1"/>
    </xf>
    <xf numFmtId="0" fontId="40" fillId="0" borderId="8" xfId="6" applyFont="1" applyFill="1" applyBorder="1" applyAlignment="1">
      <alignment horizontal="center" vertical="center" readingOrder="1"/>
    </xf>
    <xf numFmtId="0" fontId="36" fillId="0" borderId="4" xfId="6" applyFont="1" applyFill="1" applyBorder="1" applyAlignment="1">
      <alignment horizontal="center" vertical="center" readingOrder="1"/>
    </xf>
    <xf numFmtId="0" fontId="36" fillId="0" borderId="3" xfId="6" applyFont="1" applyFill="1" applyBorder="1" applyAlignment="1">
      <alignment horizontal="center" vertical="center" readingOrder="1"/>
    </xf>
    <xf numFmtId="0" fontId="36" fillId="0" borderId="64" xfId="6" applyFont="1" applyFill="1" applyBorder="1" applyAlignment="1">
      <alignment horizontal="center" vertical="center" readingOrder="1"/>
    </xf>
    <xf numFmtId="0" fontId="36" fillId="0" borderId="91" xfId="6" applyFont="1" applyFill="1" applyBorder="1" applyAlignment="1">
      <alignment horizontal="center" vertical="center" readingOrder="1"/>
    </xf>
    <xf numFmtId="0" fontId="36" fillId="0" borderId="66" xfId="6" applyFont="1" applyFill="1" applyBorder="1" applyAlignment="1">
      <alignment horizontal="center" vertical="center" readingOrder="1"/>
    </xf>
    <xf numFmtId="0" fontId="40" fillId="0" borderId="19" xfId="6" applyFont="1" applyFill="1" applyBorder="1" applyAlignment="1">
      <alignment horizontal="center" vertical="center" wrapText="1" readingOrder="1"/>
    </xf>
    <xf numFmtId="0" fontId="40" fillId="0" borderId="18" xfId="6" applyFont="1" applyFill="1" applyBorder="1" applyAlignment="1">
      <alignment horizontal="center" vertical="center" wrapText="1" readingOrder="1"/>
    </xf>
    <xf numFmtId="0" fontId="36" fillId="0" borderId="10" xfId="6" applyFont="1" applyFill="1" applyBorder="1" applyAlignment="1">
      <alignment horizontal="center" vertical="center"/>
    </xf>
    <xf numFmtId="0" fontId="36" fillId="0" borderId="11" xfId="6" applyFont="1" applyFill="1" applyBorder="1" applyAlignment="1">
      <alignment horizontal="center" vertical="center"/>
    </xf>
    <xf numFmtId="0" fontId="36" fillId="0" borderId="64" xfId="6" applyFont="1" applyFill="1" applyBorder="1" applyAlignment="1">
      <alignment horizontal="center" vertical="center"/>
    </xf>
    <xf numFmtId="0" fontId="40" fillId="0" borderId="92" xfId="6" applyFont="1" applyFill="1" applyBorder="1" applyAlignment="1">
      <alignment horizontal="center" vertical="center" wrapText="1" readingOrder="1"/>
    </xf>
    <xf numFmtId="0" fontId="40" fillId="0" borderId="30" xfId="6" applyFont="1" applyFill="1" applyBorder="1" applyAlignment="1">
      <alignment horizontal="center" vertical="center" wrapText="1" readingOrder="1"/>
    </xf>
    <xf numFmtId="0" fontId="40" fillId="0" borderId="97" xfId="6" applyFont="1" applyFill="1" applyBorder="1" applyAlignment="1">
      <alignment horizontal="center" vertical="center" wrapText="1" readingOrder="1"/>
    </xf>
    <xf numFmtId="0" fontId="40" fillId="0" borderId="33" xfId="6" applyFont="1" applyFill="1" applyBorder="1" applyAlignment="1">
      <alignment horizontal="center" vertical="center" wrapText="1" readingOrder="1"/>
    </xf>
    <xf numFmtId="0" fontId="40" fillId="0" borderId="98" xfId="6" applyFont="1" applyFill="1" applyBorder="1" applyAlignment="1">
      <alignment horizontal="center" vertical="center" wrapText="1" readingOrder="1"/>
    </xf>
    <xf numFmtId="0" fontId="40" fillId="0" borderId="77" xfId="6" applyFont="1" applyFill="1" applyBorder="1" applyAlignment="1">
      <alignment horizontal="center" vertical="center" wrapText="1" readingOrder="1"/>
    </xf>
    <xf numFmtId="0" fontId="40" fillId="0" borderId="39" xfId="6" applyFont="1" applyFill="1" applyBorder="1" applyAlignment="1">
      <alignment horizontal="center" vertical="center" wrapText="1" readingOrder="1"/>
    </xf>
    <xf numFmtId="0" fontId="40" fillId="0" borderId="25" xfId="6" applyFont="1" applyFill="1" applyBorder="1" applyAlignment="1">
      <alignment horizontal="center" vertical="center" wrapText="1" readingOrder="1"/>
    </xf>
    <xf numFmtId="0" fontId="40" fillId="0" borderId="29" xfId="6" applyFont="1" applyFill="1" applyBorder="1" applyAlignment="1">
      <alignment horizontal="center" vertical="center" wrapText="1" readingOrder="1"/>
    </xf>
    <xf numFmtId="0" fontId="40" fillId="0" borderId="25" xfId="6" quotePrefix="1" applyFont="1" applyFill="1" applyBorder="1" applyAlignment="1">
      <alignment horizontal="center" vertical="center" wrapText="1" readingOrder="1"/>
    </xf>
    <xf numFmtId="0" fontId="40" fillId="0" borderId="83" xfId="6" quotePrefix="1" applyFont="1" applyFill="1" applyBorder="1" applyAlignment="1">
      <alignment horizontal="center" vertical="center" wrapText="1" readingOrder="1"/>
    </xf>
    <xf numFmtId="0" fontId="36" fillId="0" borderId="9" xfId="3" applyFont="1" applyFill="1" applyBorder="1" applyAlignment="1">
      <alignment horizontal="center" vertical="center"/>
    </xf>
    <xf numFmtId="0" fontId="40" fillId="0" borderId="72" xfId="6" applyFont="1" applyFill="1" applyBorder="1" applyAlignment="1">
      <alignment horizontal="center" vertical="center" wrapText="1" readingOrder="1"/>
    </xf>
    <xf numFmtId="0" fontId="40" fillId="0" borderId="73" xfId="6" applyFont="1" applyFill="1" applyBorder="1" applyAlignment="1">
      <alignment horizontal="center" vertical="center" wrapText="1" readingOrder="1"/>
    </xf>
    <xf numFmtId="0" fontId="40" fillId="0" borderId="74" xfId="6" applyFont="1" applyFill="1" applyBorder="1" applyAlignment="1">
      <alignment horizontal="center" vertical="center" wrapText="1" readingOrder="1"/>
    </xf>
    <xf numFmtId="0" fontId="36" fillId="0" borderId="10" xfId="6" applyFont="1" applyFill="1" applyBorder="1" applyAlignment="1">
      <alignment horizontal="center" vertical="center" readingOrder="1"/>
    </xf>
    <xf numFmtId="0" fontId="36" fillId="0" borderId="11" xfId="6" applyFont="1" applyFill="1" applyBorder="1" applyAlignment="1">
      <alignment horizontal="center" vertical="center" readingOrder="1"/>
    </xf>
    <xf numFmtId="0" fontId="40" fillId="0" borderId="10" xfId="6" applyFont="1" applyFill="1" applyBorder="1" applyAlignment="1">
      <alignment horizontal="center" vertical="center" wrapText="1" readingOrder="1"/>
    </xf>
    <xf numFmtId="0" fontId="40" fillId="0" borderId="11" xfId="6" applyFont="1" applyFill="1" applyBorder="1" applyAlignment="1">
      <alignment horizontal="center" vertical="center" wrapText="1" readingOrder="1"/>
    </xf>
    <xf numFmtId="0" fontId="40" fillId="0" borderId="0" xfId="6" applyFont="1" applyFill="1" applyBorder="1" applyAlignment="1">
      <alignment horizontal="center" vertical="center" wrapText="1" readingOrder="1"/>
    </xf>
    <xf numFmtId="0" fontId="40" fillId="0" borderId="64" xfId="6" applyFont="1" applyFill="1" applyBorder="1" applyAlignment="1">
      <alignment horizontal="center" vertical="center" wrapText="1" readingOrder="1"/>
    </xf>
  </cellXfs>
  <cellStyles count="10">
    <cellStyle name="쉼표 [0]" xfId="1" builtinId="6"/>
    <cellStyle name="쉼표 [0] 4" xfId="2" xr:uid="{8648E981-D3ED-4E08-B187-0EE3BE37E9D1}"/>
    <cellStyle name="쉼표 [0] 4 2" xfId="8" xr:uid="{7FDC131F-1730-4F4F-AFD4-6885C9DFBBAD}"/>
    <cellStyle name="쉼표 [0] 5" xfId="7" xr:uid="{B2BB7784-3E15-4AFE-AC3F-DB6109424E26}"/>
    <cellStyle name="쉼표 [0] 6 2" xfId="5" xr:uid="{6CA8144D-F7AF-4D7F-806D-1684DFB44AB1}"/>
    <cellStyle name="표준" xfId="0" builtinId="0"/>
    <cellStyle name="표준 10 2" xfId="4" xr:uid="{ECC1D382-E99B-4C57-A331-049D8F277D62}"/>
    <cellStyle name="표준 2" xfId="3" xr:uid="{12353D69-ED50-44ED-B723-039C6AD5BF05}"/>
    <cellStyle name="표준 2 2" xfId="9" xr:uid="{216A2985-64E3-4416-977C-681D9D650D92}"/>
    <cellStyle name="표준 3" xfId="6" xr:uid="{9CBA5F47-5EE6-4CC8-9EC9-2ED1969A562A}"/>
  </cellStyles>
  <dxfs count="1">
    <dxf>
      <numFmt numFmtId="183" formatCode="#,###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270-69EE-4FB9-8C4A-294844F51972}">
  <sheetPr>
    <tabColor rgb="FFFF0000"/>
    <pageSetUpPr fitToPage="1"/>
  </sheetPr>
  <dimension ref="A1:U77"/>
  <sheetViews>
    <sheetView zoomScale="70" zoomScaleNormal="70" workbookViewId="0">
      <selection activeCell="H17" sqref="H17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6384" width="8.796875" style="148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109</v>
      </c>
    </row>
    <row r="2" spans="1:18" ht="17.25" customHeight="1">
      <c r="A2" s="47"/>
      <c r="B2" s="47"/>
      <c r="C2" s="47"/>
      <c r="D2" s="47"/>
      <c r="E2" s="47"/>
      <c r="F2" s="47"/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40" t="s">
        <v>59</v>
      </c>
      <c r="E5" s="39" t="s">
        <v>112</v>
      </c>
      <c r="F5" s="9">
        <v>0</v>
      </c>
      <c r="G5" s="9"/>
      <c r="H5" s="144"/>
      <c r="I5" s="144"/>
      <c r="J5" s="144"/>
      <c r="K5" s="144">
        <v>0</v>
      </c>
      <c r="L5" s="144">
        <v>200000</v>
      </c>
      <c r="M5" s="144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>
      <c r="A6" s="469"/>
      <c r="B6" s="472"/>
      <c r="C6" s="472"/>
      <c r="D6" s="17" t="s">
        <v>58</v>
      </c>
      <c r="E6" s="17" t="s">
        <v>57</v>
      </c>
      <c r="F6" s="9">
        <v>0</v>
      </c>
      <c r="G6" s="9"/>
      <c r="H6" s="144">
        <v>300000</v>
      </c>
      <c r="I6" s="144">
        <v>300000</v>
      </c>
      <c r="J6" s="144">
        <v>300000</v>
      </c>
      <c r="K6" s="144"/>
      <c r="L6" s="144">
        <v>300000</v>
      </c>
      <c r="M6" s="144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69"/>
      <c r="B8" s="471" t="s">
        <v>21</v>
      </c>
      <c r="C8" s="477" t="s">
        <v>34</v>
      </c>
      <c r="D8" s="37" t="s">
        <v>115</v>
      </c>
      <c r="E8" s="17"/>
      <c r="F8" s="9">
        <v>0</v>
      </c>
      <c r="G8" s="9"/>
      <c r="H8" s="144">
        <v>80000</v>
      </c>
      <c r="I8" s="144">
        <v>80000</v>
      </c>
      <c r="J8" s="144">
        <v>80000</v>
      </c>
      <c r="K8" s="144"/>
      <c r="L8" s="144">
        <v>80000</v>
      </c>
      <c r="M8" s="144">
        <v>80000</v>
      </c>
      <c r="N8" s="144">
        <v>80000</v>
      </c>
      <c r="O8" s="144"/>
      <c r="P8" s="9"/>
      <c r="Q8" s="9"/>
      <c r="R8" s="9">
        <f t="shared" si="0"/>
        <v>480000</v>
      </c>
    </row>
    <row r="9" spans="1:18">
      <c r="A9" s="469"/>
      <c r="B9" s="471"/>
      <c r="C9" s="477"/>
      <c r="D9" s="17" t="s">
        <v>116</v>
      </c>
      <c r="E9" s="17"/>
      <c r="F9" s="9">
        <v>0</v>
      </c>
      <c r="G9" s="9"/>
      <c r="H9" s="9">
        <v>15000</v>
      </c>
      <c r="I9" s="9">
        <v>15000</v>
      </c>
      <c r="J9" s="9">
        <v>15000</v>
      </c>
      <c r="K9" s="9"/>
      <c r="L9" s="9">
        <v>10000</v>
      </c>
      <c r="M9" s="9">
        <v>10000</v>
      </c>
      <c r="N9" s="9">
        <v>10000</v>
      </c>
      <c r="O9" s="9"/>
      <c r="P9" s="9"/>
      <c r="Q9" s="9"/>
      <c r="R9" s="9">
        <f t="shared" si="0"/>
        <v>75000</v>
      </c>
    </row>
    <row r="10" spans="1:18" hidden="1">
      <c r="A10" s="469"/>
      <c r="B10" s="471"/>
      <c r="C10" s="477" t="s">
        <v>55</v>
      </c>
      <c r="D10" s="37" t="s">
        <v>50</v>
      </c>
      <c r="E10" s="17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17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17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15" t="s">
        <v>53</v>
      </c>
      <c r="E13" s="17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17" t="s">
        <v>52</v>
      </c>
      <c r="E14" s="17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69"/>
      <c r="B15" s="471"/>
      <c r="C15" s="473" t="s">
        <v>39</v>
      </c>
      <c r="D15" s="25" t="s">
        <v>50</v>
      </c>
      <c r="E15" s="17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69"/>
      <c r="B16" s="471"/>
      <c r="C16" s="471"/>
      <c r="D16" s="25" t="s">
        <v>50</v>
      </c>
      <c r="E16" s="17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25" t="s">
        <v>50</v>
      </c>
      <c r="E17" s="17" t="s">
        <v>51</v>
      </c>
      <c r="F17" s="9">
        <v>0</v>
      </c>
      <c r="G17" s="9"/>
      <c r="H17" s="144">
        <v>1000</v>
      </c>
      <c r="I17" s="144">
        <v>5000</v>
      </c>
      <c r="J17" s="144">
        <v>5000</v>
      </c>
      <c r="K17" s="144">
        <v>1000</v>
      </c>
      <c r="L17" s="144">
        <v>1000</v>
      </c>
      <c r="M17" s="144">
        <v>5000</v>
      </c>
      <c r="N17" s="144">
        <v>5000</v>
      </c>
      <c r="O17" s="144">
        <v>1000</v>
      </c>
      <c r="P17" s="9"/>
      <c r="Q17" s="9"/>
      <c r="R17" s="9">
        <f t="shared" si="0"/>
        <v>24000</v>
      </c>
    </row>
    <row r="18" spans="1:21">
      <c r="A18" s="469"/>
      <c r="B18" s="471"/>
      <c r="C18" s="471"/>
      <c r="D18" s="25" t="s">
        <v>50</v>
      </c>
      <c r="E18" s="17" t="s">
        <v>49</v>
      </c>
      <c r="F18" s="9">
        <v>0</v>
      </c>
      <c r="G18" s="9"/>
      <c r="H18" s="144">
        <v>4000</v>
      </c>
      <c r="I18" s="144">
        <v>10000</v>
      </c>
      <c r="J18" s="144">
        <v>10000</v>
      </c>
      <c r="K18" s="144">
        <v>4000</v>
      </c>
      <c r="L18" s="144">
        <v>4000</v>
      </c>
      <c r="M18" s="144">
        <v>10000</v>
      </c>
      <c r="N18" s="144">
        <v>10000</v>
      </c>
      <c r="O18" s="144">
        <v>4000</v>
      </c>
      <c r="P18" s="9"/>
      <c r="Q18" s="9"/>
      <c r="R18" s="9">
        <f t="shared" si="0"/>
        <v>56000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100000</v>
      </c>
      <c r="I19" s="28">
        <f t="shared" si="2"/>
        <v>110000</v>
      </c>
      <c r="J19" s="28">
        <f t="shared" si="2"/>
        <v>110000</v>
      </c>
      <c r="K19" s="28">
        <f t="shared" si="2"/>
        <v>5000</v>
      </c>
      <c r="L19" s="28">
        <f t="shared" si="2"/>
        <v>95000</v>
      </c>
      <c r="M19" s="28">
        <f t="shared" si="2"/>
        <v>105000</v>
      </c>
      <c r="N19" s="28">
        <f t="shared" si="2"/>
        <v>105000</v>
      </c>
      <c r="O19" s="28">
        <f t="shared" si="2"/>
        <v>5000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34" t="s">
        <v>14</v>
      </c>
      <c r="C20" s="34" t="s">
        <v>34</v>
      </c>
      <c r="D20" s="32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>
      <c r="A22" s="469"/>
      <c r="B22" s="478" t="s">
        <v>45</v>
      </c>
      <c r="C22" s="473" t="s">
        <v>34</v>
      </c>
      <c r="D22" s="473" t="s">
        <v>122</v>
      </c>
      <c r="E22" s="33" t="s">
        <v>43</v>
      </c>
      <c r="F22" s="9">
        <v>0</v>
      </c>
      <c r="G22" s="9">
        <v>0</v>
      </c>
      <c r="H22" s="153">
        <v>25000</v>
      </c>
      <c r="I22" s="153">
        <v>25000</v>
      </c>
      <c r="J22" s="153">
        <v>25000</v>
      </c>
      <c r="K22" s="151"/>
      <c r="L22" s="151"/>
      <c r="M22" s="151"/>
      <c r="N22" s="151"/>
      <c r="O22" s="151"/>
      <c r="P22" s="9">
        <v>0</v>
      </c>
      <c r="Q22" s="9">
        <v>0</v>
      </c>
      <c r="R22" s="9">
        <f t="shared" ref="R22:R26" si="4">SUM(F22:Q22)</f>
        <v>75000</v>
      </c>
    </row>
    <row r="23" spans="1:21">
      <c r="A23" s="469"/>
      <c r="B23" s="479"/>
      <c r="C23" s="471"/>
      <c r="D23" s="471"/>
      <c r="E23" s="33" t="s">
        <v>42</v>
      </c>
      <c r="F23" s="9"/>
      <c r="G23" s="9"/>
      <c r="H23" s="153">
        <v>18000</v>
      </c>
      <c r="I23" s="153">
        <v>18000</v>
      </c>
      <c r="J23" s="153">
        <v>18000</v>
      </c>
      <c r="K23" s="153">
        <v>18000</v>
      </c>
      <c r="L23" s="153">
        <v>18000</v>
      </c>
      <c r="M23" s="153">
        <v>18000</v>
      </c>
      <c r="N23" s="152"/>
      <c r="O23" s="151"/>
      <c r="P23" s="9"/>
      <c r="Q23" s="9"/>
      <c r="R23" s="9">
        <f t="shared" si="4"/>
        <v>108000</v>
      </c>
    </row>
    <row r="24" spans="1:21">
      <c r="A24" s="469"/>
      <c r="B24" s="479"/>
      <c r="C24" s="471"/>
      <c r="D24" s="471"/>
      <c r="E24" s="33" t="s">
        <v>41</v>
      </c>
      <c r="F24" s="9"/>
      <c r="G24" s="9"/>
      <c r="H24" s="153">
        <v>3000</v>
      </c>
      <c r="I24" s="153">
        <v>3000</v>
      </c>
      <c r="J24" s="153">
        <v>3000</v>
      </c>
      <c r="K24" s="153">
        <v>3000</v>
      </c>
      <c r="L24" s="153">
        <v>3000</v>
      </c>
      <c r="M24" s="153">
        <v>3000</v>
      </c>
      <c r="N24" s="153">
        <v>3000</v>
      </c>
      <c r="O24" s="153">
        <v>3000</v>
      </c>
      <c r="P24" s="9"/>
      <c r="Q24" s="9"/>
      <c r="R24" s="9">
        <f t="shared" si="4"/>
        <v>24000</v>
      </c>
    </row>
    <row r="25" spans="1:21">
      <c r="A25" s="469"/>
      <c r="B25" s="479"/>
      <c r="C25" s="471"/>
      <c r="D25" s="471"/>
      <c r="E25" s="29" t="s">
        <v>123</v>
      </c>
      <c r="F25" s="9"/>
      <c r="G25" s="9"/>
      <c r="H25" s="153">
        <v>50000</v>
      </c>
      <c r="I25" s="153">
        <v>50000</v>
      </c>
      <c r="J25" s="153">
        <v>50000</v>
      </c>
      <c r="K25" s="151"/>
      <c r="L25" s="151"/>
      <c r="M25" s="151"/>
      <c r="N25" s="151"/>
      <c r="O25" s="151"/>
      <c r="P25" s="9"/>
      <c r="Q25" s="9"/>
      <c r="R25" s="9">
        <f t="shared" ref="R25" si="5">SUM(F25:Q25)</f>
        <v>150000</v>
      </c>
    </row>
    <row r="26" spans="1:21">
      <c r="A26" s="469"/>
      <c r="B26" s="479"/>
      <c r="C26" s="472"/>
      <c r="D26" s="472"/>
      <c r="E26" s="29" t="s">
        <v>124</v>
      </c>
      <c r="F26" s="9"/>
      <c r="G26" s="9"/>
      <c r="H26" s="149"/>
      <c r="I26" s="149"/>
      <c r="J26" s="153">
        <v>70000</v>
      </c>
      <c r="K26" s="153">
        <v>70000</v>
      </c>
      <c r="L26" s="153">
        <v>70000</v>
      </c>
      <c r="M26" s="149"/>
      <c r="N26" s="149"/>
      <c r="O26" s="149"/>
      <c r="P26" s="9"/>
      <c r="Q26" s="9"/>
      <c r="R26" s="9">
        <f t="shared" si="4"/>
        <v>210000</v>
      </c>
    </row>
    <row r="27" spans="1:21">
      <c r="A27" s="469"/>
      <c r="B27" s="474" t="s">
        <v>36</v>
      </c>
      <c r="C27" s="475"/>
      <c r="D27" s="475"/>
      <c r="E27" s="476"/>
      <c r="F27" s="28">
        <f t="shared" ref="F27:R27" si="6">SUM(F22:F26)</f>
        <v>0</v>
      </c>
      <c r="G27" s="28">
        <f t="shared" si="6"/>
        <v>0</v>
      </c>
      <c r="H27" s="28">
        <f t="shared" si="6"/>
        <v>96000</v>
      </c>
      <c r="I27" s="28">
        <f t="shared" si="6"/>
        <v>96000</v>
      </c>
      <c r="J27" s="28">
        <f t="shared" si="6"/>
        <v>166000</v>
      </c>
      <c r="K27" s="28">
        <f t="shared" si="6"/>
        <v>91000</v>
      </c>
      <c r="L27" s="28">
        <f t="shared" si="6"/>
        <v>91000</v>
      </c>
      <c r="M27" s="28">
        <f t="shared" si="6"/>
        <v>21000</v>
      </c>
      <c r="N27" s="28">
        <f t="shared" si="6"/>
        <v>3000</v>
      </c>
      <c r="O27" s="28">
        <f t="shared" si="6"/>
        <v>3000</v>
      </c>
      <c r="P27" s="28">
        <f t="shared" si="6"/>
        <v>0</v>
      </c>
      <c r="Q27" s="28">
        <f t="shared" si="6"/>
        <v>0</v>
      </c>
      <c r="R27" s="28">
        <f t="shared" si="6"/>
        <v>567000</v>
      </c>
    </row>
    <row r="28" spans="1:21" hidden="1">
      <c r="A28" s="469"/>
      <c r="B28" s="34" t="s">
        <v>35</v>
      </c>
      <c r="C28" s="32" t="s">
        <v>34</v>
      </c>
      <c r="D28" s="32" t="s">
        <v>33</v>
      </c>
      <c r="E28" s="29" t="s">
        <v>32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/>
      <c r="O28" s="9">
        <v>0</v>
      </c>
      <c r="P28" s="9">
        <v>0</v>
      </c>
      <c r="Q28" s="9">
        <v>0</v>
      </c>
      <c r="R28" s="9">
        <f>J28</f>
        <v>0</v>
      </c>
    </row>
    <row r="29" spans="1:21" hidden="1">
      <c r="A29" s="470"/>
      <c r="B29" s="474" t="s">
        <v>31</v>
      </c>
      <c r="C29" s="475"/>
      <c r="D29" s="475"/>
      <c r="E29" s="476"/>
      <c r="F29" s="28">
        <f t="shared" ref="F29:R29" si="7">SUM(F28:F28)</f>
        <v>0</v>
      </c>
      <c r="G29" s="28">
        <f t="shared" si="7"/>
        <v>0</v>
      </c>
      <c r="H29" s="28">
        <f t="shared" si="7"/>
        <v>0</v>
      </c>
      <c r="I29" s="28">
        <f t="shared" si="7"/>
        <v>0</v>
      </c>
      <c r="J29" s="28">
        <f t="shared" si="7"/>
        <v>0</v>
      </c>
      <c r="K29" s="28">
        <f t="shared" si="7"/>
        <v>0</v>
      </c>
      <c r="L29" s="28">
        <f t="shared" si="7"/>
        <v>0</v>
      </c>
      <c r="M29" s="28">
        <f t="shared" si="7"/>
        <v>0</v>
      </c>
      <c r="N29" s="28">
        <f t="shared" si="7"/>
        <v>0</v>
      </c>
      <c r="O29" s="28">
        <f t="shared" si="7"/>
        <v>0</v>
      </c>
      <c r="P29" s="28">
        <f t="shared" si="7"/>
        <v>0</v>
      </c>
      <c r="Q29" s="28">
        <f t="shared" si="7"/>
        <v>0</v>
      </c>
      <c r="R29" s="28">
        <f t="shared" si="7"/>
        <v>0</v>
      </c>
    </row>
    <row r="30" spans="1:21">
      <c r="A30" s="481" t="s">
        <v>30</v>
      </c>
      <c r="B30" s="481"/>
      <c r="C30" s="481"/>
      <c r="D30" s="481"/>
      <c r="E30" s="481"/>
      <c r="F30" s="27">
        <f>F7+F19</f>
        <v>0</v>
      </c>
      <c r="G30" s="27">
        <f>G7+G19</f>
        <v>0</v>
      </c>
      <c r="H30" s="27">
        <f>H7+H19+H27+H29</f>
        <v>496000</v>
      </c>
      <c r="I30" s="27">
        <f>I7+I19+I21+I27+I29</f>
        <v>506000</v>
      </c>
      <c r="J30" s="27">
        <f>J7+J19+J21+J27+J29</f>
        <v>576000</v>
      </c>
      <c r="K30" s="27">
        <f t="shared" ref="K30:Q30" si="8">K7+K19+K27+K29</f>
        <v>96000</v>
      </c>
      <c r="L30" s="27">
        <f t="shared" si="8"/>
        <v>686000</v>
      </c>
      <c r="M30" s="27">
        <f t="shared" si="8"/>
        <v>726000</v>
      </c>
      <c r="N30" s="27">
        <f t="shared" si="8"/>
        <v>108000</v>
      </c>
      <c r="O30" s="27">
        <f t="shared" si="8"/>
        <v>8000</v>
      </c>
      <c r="P30" s="27">
        <f t="shared" si="8"/>
        <v>0</v>
      </c>
      <c r="Q30" s="27">
        <f t="shared" si="8"/>
        <v>0</v>
      </c>
      <c r="R30" s="27">
        <f>R7+R19+R21+R27+R29</f>
        <v>3202000</v>
      </c>
      <c r="T30" s="2"/>
      <c r="U30" s="2"/>
    </row>
    <row r="31" spans="1:21">
      <c r="A31" s="482" t="s">
        <v>17</v>
      </c>
      <c r="B31" s="485" t="s">
        <v>24</v>
      </c>
      <c r="C31" s="488" t="s">
        <v>17</v>
      </c>
      <c r="D31" s="485" t="s">
        <v>23</v>
      </c>
      <c r="E31" s="17" t="s">
        <v>22</v>
      </c>
      <c r="F31" s="150">
        <v>38000</v>
      </c>
      <c r="G31" s="9"/>
      <c r="H31" s="9"/>
      <c r="I31" s="9">
        <v>0</v>
      </c>
      <c r="J31" s="9">
        <v>0</v>
      </c>
      <c r="K31" s="9">
        <v>0</v>
      </c>
      <c r="L31" s="9">
        <v>0</v>
      </c>
      <c r="M31" s="26">
        <v>0</v>
      </c>
      <c r="N31" s="9">
        <v>0</v>
      </c>
      <c r="O31" s="9">
        <v>0</v>
      </c>
      <c r="P31" s="9">
        <v>0</v>
      </c>
      <c r="Q31" s="9"/>
      <c r="R31" s="9">
        <f t="shared" ref="R31:R45" si="9">SUM(F31:Q31)</f>
        <v>38000</v>
      </c>
    </row>
    <row r="32" spans="1:21">
      <c r="A32" s="483"/>
      <c r="B32" s="486"/>
      <c r="C32" s="489"/>
      <c r="D32" s="487"/>
      <c r="E32" s="17" t="s">
        <v>29</v>
      </c>
      <c r="F32" s="150">
        <v>3800</v>
      </c>
      <c r="G32" s="9"/>
      <c r="H32" s="9"/>
      <c r="I32" s="9"/>
      <c r="J32" s="9"/>
      <c r="K32" s="9"/>
      <c r="L32" s="9"/>
      <c r="M32" s="26"/>
      <c r="N32" s="9"/>
      <c r="O32" s="9"/>
      <c r="P32" s="9"/>
      <c r="Q32" s="9"/>
      <c r="R32" s="9">
        <f t="shared" si="9"/>
        <v>3800</v>
      </c>
    </row>
    <row r="33" spans="1:21">
      <c r="A33" s="483"/>
      <c r="B33" s="487"/>
      <c r="C33" s="489"/>
      <c r="D33" s="25" t="s">
        <v>17</v>
      </c>
      <c r="E33" s="17" t="s">
        <v>117</v>
      </c>
      <c r="F33" s="9">
        <v>0</v>
      </c>
      <c r="G33" s="144">
        <f>180000*1.1765+4200</f>
        <v>215970.00000000003</v>
      </c>
      <c r="H33" s="146"/>
      <c r="I33" s="146"/>
      <c r="J33" s="146"/>
      <c r="K33" s="144">
        <f>8000*1.1765</f>
        <v>9412</v>
      </c>
      <c r="L33" s="9"/>
      <c r="M33" s="9"/>
      <c r="N33" s="9"/>
      <c r="O33" s="9"/>
      <c r="P33" s="9"/>
      <c r="Q33" s="9"/>
      <c r="R33" s="9">
        <f t="shared" si="9"/>
        <v>225382.00000000003</v>
      </c>
      <c r="U33" s="2"/>
    </row>
    <row r="34" spans="1:21" ht="17.399999999999999" customHeight="1">
      <c r="A34" s="483"/>
      <c r="B34" s="485" t="s">
        <v>21</v>
      </c>
      <c r="C34" s="486"/>
      <c r="D34" s="485" t="s">
        <v>20</v>
      </c>
      <c r="E34" s="14" t="s">
        <v>118</v>
      </c>
      <c r="F34" s="9">
        <v>0</v>
      </c>
      <c r="G34" s="144">
        <f>2500*1.1765</f>
        <v>2941.2500000000005</v>
      </c>
      <c r="H34" s="144"/>
      <c r="I34" s="144"/>
      <c r="J34" s="144">
        <f>2500*1.1765</f>
        <v>2941.2500000000005</v>
      </c>
      <c r="K34" s="144"/>
      <c r="L34" s="144"/>
      <c r="M34" s="144">
        <f>5000*1.1765</f>
        <v>5882.5000000000009</v>
      </c>
      <c r="N34" s="144"/>
      <c r="O34" s="9"/>
      <c r="P34" s="9"/>
      <c r="Q34" s="9"/>
      <c r="R34" s="9">
        <f t="shared" si="9"/>
        <v>11765.000000000002</v>
      </c>
    </row>
    <row r="35" spans="1:21">
      <c r="A35" s="483"/>
      <c r="B35" s="486"/>
      <c r="C35" s="486"/>
      <c r="D35" s="486"/>
      <c r="E35" s="14" t="s">
        <v>119</v>
      </c>
      <c r="F35" s="9">
        <v>0</v>
      </c>
      <c r="G35" s="144">
        <f>9000*1.1765</f>
        <v>10588.500000000002</v>
      </c>
      <c r="H35" s="144"/>
      <c r="I35" s="144"/>
      <c r="J35" s="144"/>
      <c r="K35" s="144"/>
      <c r="L35" s="144"/>
      <c r="M35" s="144">
        <f>10000*1.1765</f>
        <v>11765.000000000002</v>
      </c>
      <c r="N35" s="144">
        <f>11000*1.1765</f>
        <v>12941.500000000002</v>
      </c>
      <c r="O35" s="16"/>
      <c r="P35" s="9"/>
      <c r="Q35" s="9">
        <v>0</v>
      </c>
      <c r="R35" s="9">
        <f t="shared" si="9"/>
        <v>35295.000000000007</v>
      </c>
    </row>
    <row r="36" spans="1:21">
      <c r="A36" s="483"/>
      <c r="B36" s="486"/>
      <c r="C36" s="486"/>
      <c r="D36" s="487"/>
      <c r="E36" s="14" t="s">
        <v>120</v>
      </c>
      <c r="F36" s="9"/>
      <c r="G36" s="144">
        <f>5000*1.1765</f>
        <v>5882.5000000000009</v>
      </c>
      <c r="H36" s="144"/>
      <c r="I36" s="144"/>
      <c r="J36" s="144"/>
      <c r="K36" s="144"/>
      <c r="L36" s="144"/>
      <c r="M36" s="144">
        <f>5000*1.1765</f>
        <v>5882.5000000000009</v>
      </c>
      <c r="N36" s="144"/>
      <c r="O36" s="16"/>
      <c r="P36" s="16"/>
      <c r="Q36" s="9">
        <v>0</v>
      </c>
      <c r="R36" s="9">
        <f t="shared" si="9"/>
        <v>11765.000000000002</v>
      </c>
    </row>
    <row r="37" spans="1:21" ht="17.399999999999999" hidden="1" customHeight="1">
      <c r="A37" s="483"/>
      <c r="B37" s="486"/>
      <c r="C37" s="486"/>
      <c r="D37" s="17" t="s">
        <v>12</v>
      </c>
      <c r="E37" s="14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24"/>
      <c r="P37" s="16"/>
      <c r="Q37" s="9">
        <v>0</v>
      </c>
      <c r="R37" s="9">
        <f t="shared" si="9"/>
        <v>0</v>
      </c>
    </row>
    <row r="38" spans="1:21">
      <c r="A38" s="483"/>
      <c r="B38" s="486"/>
      <c r="C38" s="486"/>
      <c r="D38" s="17" t="s">
        <v>12</v>
      </c>
      <c r="E38" s="14" t="s">
        <v>18</v>
      </c>
      <c r="F38" s="9">
        <v>0</v>
      </c>
      <c r="G38" s="144">
        <f>5000*1.1765</f>
        <v>5882.5000000000009</v>
      </c>
      <c r="H38" s="144"/>
      <c r="I38" s="144"/>
      <c r="J38" s="144">
        <f>5000*1.1765</f>
        <v>5882.5000000000009</v>
      </c>
      <c r="K38" s="144"/>
      <c r="L38" s="144"/>
      <c r="M38" s="144">
        <f>5000*1.1765</f>
        <v>5882.5000000000009</v>
      </c>
      <c r="N38" s="144"/>
      <c r="O38" s="144">
        <v>0</v>
      </c>
      <c r="P38" s="16"/>
      <c r="Q38" s="9">
        <v>0</v>
      </c>
      <c r="R38" s="9">
        <f t="shared" si="9"/>
        <v>17647.500000000004</v>
      </c>
    </row>
    <row r="39" spans="1:21">
      <c r="A39" s="483"/>
      <c r="B39" s="487"/>
      <c r="C39" s="486"/>
      <c r="D39" s="17" t="s">
        <v>16</v>
      </c>
      <c r="E39" s="14" t="s">
        <v>15</v>
      </c>
      <c r="F39" s="9">
        <v>0</v>
      </c>
      <c r="G39" s="16"/>
      <c r="H39" s="9"/>
      <c r="I39" s="9"/>
      <c r="J39" s="9"/>
      <c r="K39" s="9"/>
      <c r="L39" s="9"/>
      <c r="M39" s="9"/>
      <c r="N39" s="9"/>
      <c r="O39" s="16"/>
      <c r="P39" s="16"/>
      <c r="Q39" s="9">
        <v>0</v>
      </c>
      <c r="R39" s="9">
        <f t="shared" si="9"/>
        <v>0</v>
      </c>
      <c r="T39" s="1"/>
    </row>
    <row r="40" spans="1:21">
      <c r="A40" s="483"/>
      <c r="B40" s="485" t="s">
        <v>13</v>
      </c>
      <c r="C40" s="486"/>
      <c r="D40" s="17" t="s">
        <v>12</v>
      </c>
      <c r="E40" s="14" t="s">
        <v>11</v>
      </c>
      <c r="F40" s="9">
        <v>0</v>
      </c>
      <c r="G40" s="144">
        <f>3000*1.1765</f>
        <v>3529.5000000000005</v>
      </c>
      <c r="H40" s="144"/>
      <c r="I40" s="144">
        <f>3000*1.1765</f>
        <v>3529.5000000000005</v>
      </c>
      <c r="J40" s="147"/>
      <c r="K40" s="144"/>
      <c r="L40" s="144">
        <f>3000*1.1765</f>
        <v>3529.5000000000005</v>
      </c>
      <c r="M40" s="144"/>
      <c r="N40" s="144"/>
      <c r="O40" s="144">
        <f>3000*1.1765</f>
        <v>3529.5000000000005</v>
      </c>
      <c r="P40" s="16"/>
      <c r="Q40" s="9">
        <v>0</v>
      </c>
      <c r="R40" s="9">
        <f t="shared" si="9"/>
        <v>14118.000000000002</v>
      </c>
      <c r="T40" s="1"/>
    </row>
    <row r="41" spans="1:21">
      <c r="A41" s="483"/>
      <c r="B41" s="487"/>
      <c r="C41" s="486"/>
      <c r="D41" s="17" t="s">
        <v>10</v>
      </c>
      <c r="E41" s="14" t="s">
        <v>9</v>
      </c>
      <c r="F41" s="9">
        <v>0</v>
      </c>
      <c r="G41" s="9"/>
      <c r="H41" s="144">
        <v>7000</v>
      </c>
      <c r="I41" s="147"/>
      <c r="J41" s="144"/>
      <c r="K41" s="144"/>
      <c r="L41" s="144"/>
      <c r="M41" s="144"/>
      <c r="N41" s="144"/>
      <c r="O41" s="144">
        <v>0</v>
      </c>
      <c r="P41" s="144">
        <v>0</v>
      </c>
      <c r="Q41" s="9">
        <v>0</v>
      </c>
      <c r="R41" s="9">
        <f t="shared" si="9"/>
        <v>7000</v>
      </c>
    </row>
    <row r="42" spans="1:21">
      <c r="A42" s="483"/>
      <c r="B42" s="485" t="s">
        <v>8</v>
      </c>
      <c r="C42" s="486"/>
      <c r="D42" s="13" t="s">
        <v>7</v>
      </c>
      <c r="E42" s="17" t="s">
        <v>6</v>
      </c>
      <c r="F42" s="9">
        <v>0</v>
      </c>
      <c r="G42" s="9"/>
      <c r="H42" s="144">
        <v>0</v>
      </c>
      <c r="I42" s="144">
        <v>0</v>
      </c>
      <c r="J42" s="144">
        <v>0</v>
      </c>
      <c r="K42" s="145">
        <v>0</v>
      </c>
      <c r="L42" s="145">
        <v>0</v>
      </c>
      <c r="M42" s="145">
        <v>0</v>
      </c>
      <c r="N42" s="145">
        <v>0</v>
      </c>
      <c r="O42" s="145">
        <v>0</v>
      </c>
      <c r="P42" s="145">
        <f>26000*1.1765</f>
        <v>30589.000000000004</v>
      </c>
      <c r="Q42" s="9">
        <v>0</v>
      </c>
      <c r="R42" s="9">
        <f t="shared" si="9"/>
        <v>30589.000000000004</v>
      </c>
    </row>
    <row r="43" spans="1:21">
      <c r="A43" s="483"/>
      <c r="B43" s="486"/>
      <c r="C43" s="486"/>
      <c r="D43" s="488" t="s">
        <v>5</v>
      </c>
      <c r="E43" s="17" t="s">
        <v>121</v>
      </c>
      <c r="F43" s="9">
        <v>0</v>
      </c>
      <c r="G43" s="9"/>
      <c r="H43" s="144">
        <v>5000</v>
      </c>
      <c r="I43" s="144">
        <v>0</v>
      </c>
      <c r="J43" s="144"/>
      <c r="K43" s="145">
        <v>0</v>
      </c>
      <c r="L43" s="145">
        <v>0</v>
      </c>
      <c r="M43" s="145">
        <v>5000</v>
      </c>
      <c r="N43" s="145">
        <v>0</v>
      </c>
      <c r="O43" s="144">
        <v>0</v>
      </c>
      <c r="P43" s="144">
        <v>1438</v>
      </c>
      <c r="Q43" s="9"/>
      <c r="R43" s="9">
        <f t="shared" si="9"/>
        <v>11438</v>
      </c>
    </row>
    <row r="44" spans="1:21">
      <c r="A44" s="483"/>
      <c r="B44" s="486"/>
      <c r="C44" s="486"/>
      <c r="D44" s="489"/>
      <c r="E44" s="17" t="s">
        <v>4</v>
      </c>
      <c r="F44" s="9">
        <v>0</v>
      </c>
      <c r="G44" s="9"/>
      <c r="H44" s="9"/>
      <c r="I44" s="9"/>
      <c r="J44" s="9"/>
      <c r="K44" s="10"/>
      <c r="L44" s="10"/>
      <c r="M44" s="10"/>
      <c r="N44" s="10"/>
      <c r="O44" s="9"/>
      <c r="P44" s="9"/>
      <c r="Q44" s="9">
        <v>0</v>
      </c>
      <c r="R44" s="9">
        <f t="shared" si="9"/>
        <v>0</v>
      </c>
      <c r="U44" s="2"/>
    </row>
    <row r="45" spans="1:21">
      <c r="A45" s="484"/>
      <c r="B45" s="487"/>
      <c r="C45" s="487"/>
      <c r="D45" s="490"/>
      <c r="E45" s="17" t="s">
        <v>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10"/>
      <c r="M45" s="10">
        <v>0</v>
      </c>
      <c r="N45" s="10">
        <v>0</v>
      </c>
      <c r="O45" s="9">
        <v>0</v>
      </c>
      <c r="P45" s="9">
        <v>0</v>
      </c>
      <c r="Q45" s="9">
        <v>0</v>
      </c>
      <c r="R45" s="9">
        <f t="shared" si="9"/>
        <v>0</v>
      </c>
    </row>
    <row r="46" spans="1:21">
      <c r="A46" s="491" t="s">
        <v>2</v>
      </c>
      <c r="B46" s="491"/>
      <c r="C46" s="491"/>
      <c r="D46" s="491"/>
      <c r="E46" s="491"/>
      <c r="F46" s="8">
        <f>SUM(F31:F42)</f>
        <v>41800</v>
      </c>
      <c r="G46" s="8">
        <f t="shared" ref="G46:R46" si="10">SUM(G31:G45)</f>
        <v>244794.25000000003</v>
      </c>
      <c r="H46" s="8">
        <f t="shared" si="10"/>
        <v>12000</v>
      </c>
      <c r="I46" s="8">
        <f t="shared" si="10"/>
        <v>3529.5000000000005</v>
      </c>
      <c r="J46" s="8">
        <f t="shared" si="10"/>
        <v>8823.7500000000018</v>
      </c>
      <c r="K46" s="8">
        <f t="shared" si="10"/>
        <v>9412</v>
      </c>
      <c r="L46" s="8">
        <f t="shared" si="10"/>
        <v>3529.5000000000005</v>
      </c>
      <c r="M46" s="8">
        <f t="shared" si="10"/>
        <v>34412.5</v>
      </c>
      <c r="N46" s="23">
        <f t="shared" si="10"/>
        <v>12941.500000000002</v>
      </c>
      <c r="O46" s="8">
        <f t="shared" si="10"/>
        <v>3529.5000000000005</v>
      </c>
      <c r="P46" s="8">
        <f t="shared" si="10"/>
        <v>32027.000000000004</v>
      </c>
      <c r="Q46" s="8">
        <f t="shared" si="10"/>
        <v>0</v>
      </c>
      <c r="R46" s="7">
        <f t="shared" si="10"/>
        <v>406799.5</v>
      </c>
      <c r="U46" s="2"/>
    </row>
    <row r="47" spans="1:21">
      <c r="A47" s="492" t="s">
        <v>28</v>
      </c>
      <c r="B47" s="492"/>
      <c r="C47" s="492"/>
      <c r="D47" s="492"/>
      <c r="E47" s="492"/>
      <c r="F47" s="22">
        <f>SUM(F30,F46)</f>
        <v>41800</v>
      </c>
      <c r="G47" s="22">
        <f t="shared" ref="G47:O47" si="11">G30+G46</f>
        <v>244794.25000000003</v>
      </c>
      <c r="H47" s="22">
        <f t="shared" si="11"/>
        <v>508000</v>
      </c>
      <c r="I47" s="22">
        <f t="shared" si="11"/>
        <v>509529.5</v>
      </c>
      <c r="J47" s="22">
        <f t="shared" si="11"/>
        <v>584823.75</v>
      </c>
      <c r="K47" s="22">
        <f t="shared" si="11"/>
        <v>105412</v>
      </c>
      <c r="L47" s="22">
        <f t="shared" si="11"/>
        <v>689529.5</v>
      </c>
      <c r="M47" s="22">
        <f t="shared" si="11"/>
        <v>760412.5</v>
      </c>
      <c r="N47" s="22">
        <f t="shared" si="11"/>
        <v>120941.5</v>
      </c>
      <c r="O47" s="22">
        <f t="shared" si="11"/>
        <v>11529.5</v>
      </c>
      <c r="P47" s="22">
        <f>SUM(P30,P46)</f>
        <v>32027.000000000004</v>
      </c>
      <c r="Q47" s="22">
        <f>SUM(Q30,Q46)</f>
        <v>0</v>
      </c>
      <c r="R47" s="22">
        <f>R30+R46</f>
        <v>3608799.5</v>
      </c>
    </row>
    <row r="48" spans="1:21">
      <c r="A48" s="493" t="s">
        <v>27</v>
      </c>
      <c r="B48" s="493"/>
      <c r="C48" s="493"/>
      <c r="D48" s="493"/>
      <c r="E48" s="493"/>
      <c r="F48" s="21">
        <f>F30+F46</f>
        <v>41800</v>
      </c>
      <c r="G48" s="21">
        <f>G30+G46</f>
        <v>244794.25000000003</v>
      </c>
      <c r="H48" s="21">
        <f t="shared" ref="H48:Q48" si="12">SUM(H47:H47)</f>
        <v>508000</v>
      </c>
      <c r="I48" s="21">
        <f t="shared" si="12"/>
        <v>509529.5</v>
      </c>
      <c r="J48" s="21">
        <f t="shared" si="12"/>
        <v>584823.75</v>
      </c>
      <c r="K48" s="21">
        <f t="shared" si="12"/>
        <v>105412</v>
      </c>
      <c r="L48" s="21">
        <f t="shared" si="12"/>
        <v>689529.5</v>
      </c>
      <c r="M48" s="21">
        <f t="shared" si="12"/>
        <v>760412.5</v>
      </c>
      <c r="N48" s="21">
        <f t="shared" si="12"/>
        <v>120941.5</v>
      </c>
      <c r="O48" s="21">
        <f t="shared" si="12"/>
        <v>11529.5</v>
      </c>
      <c r="P48" s="21">
        <f t="shared" si="12"/>
        <v>32027.000000000004</v>
      </c>
      <c r="Q48" s="21">
        <f t="shared" si="12"/>
        <v>0</v>
      </c>
      <c r="R48" s="21">
        <f>R30+R46</f>
        <v>3608799.5</v>
      </c>
    </row>
    <row r="49" spans="1:18" ht="69" customHeight="1">
      <c r="A49" s="480" t="s">
        <v>26</v>
      </c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</row>
    <row r="50" spans="1:18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20" t="s">
        <v>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>
      <c r="A52" s="482" t="s">
        <v>17</v>
      </c>
      <c r="B52" s="485" t="s">
        <v>24</v>
      </c>
      <c r="C52" s="488" t="s">
        <v>17</v>
      </c>
      <c r="D52" s="17" t="s">
        <v>23</v>
      </c>
      <c r="E52" s="17" t="s">
        <v>22</v>
      </c>
      <c r="F52" s="150">
        <v>38000</v>
      </c>
      <c r="G52" s="10">
        <v>0</v>
      </c>
      <c r="H52" s="9"/>
      <c r="I52" s="9">
        <v>0</v>
      </c>
      <c r="J52" s="9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9">
        <v>0</v>
      </c>
      <c r="Q52" s="9"/>
      <c r="R52" s="9">
        <f>SUM(F52:Q52)</f>
        <v>38000</v>
      </c>
    </row>
    <row r="53" spans="1:18">
      <c r="A53" s="483"/>
      <c r="B53" s="487"/>
      <c r="C53" s="489"/>
      <c r="D53" s="17" t="s">
        <v>17</v>
      </c>
      <c r="E53" s="17" t="s">
        <v>117</v>
      </c>
      <c r="F53" s="9"/>
      <c r="G53" s="146">
        <f>180000+4200</f>
        <v>184200</v>
      </c>
      <c r="H53" s="146"/>
      <c r="I53" s="146"/>
      <c r="J53" s="146"/>
      <c r="K53" s="146">
        <v>8000</v>
      </c>
      <c r="L53" s="146"/>
      <c r="M53" s="10"/>
      <c r="N53" s="9"/>
      <c r="O53" s="9"/>
      <c r="P53" s="9"/>
      <c r="Q53" s="9"/>
      <c r="R53" s="9">
        <f>SUM(F53:Q53)</f>
        <v>192200</v>
      </c>
    </row>
    <row r="54" spans="1:18" ht="17.399999999999999" customHeight="1">
      <c r="A54" s="483"/>
      <c r="B54" s="500" t="s">
        <v>21</v>
      </c>
      <c r="C54" s="486"/>
      <c r="D54" s="485" t="s">
        <v>20</v>
      </c>
      <c r="E54" s="14" t="s">
        <v>118</v>
      </c>
      <c r="F54" s="9"/>
      <c r="G54" s="146">
        <v>2500</v>
      </c>
      <c r="H54" s="146"/>
      <c r="I54" s="146"/>
      <c r="J54" s="146">
        <v>2500</v>
      </c>
      <c r="K54" s="146"/>
      <c r="L54" s="146"/>
      <c r="M54" s="146">
        <v>5000</v>
      </c>
      <c r="N54" s="146"/>
      <c r="O54" s="9"/>
      <c r="P54" s="9"/>
      <c r="Q54" s="9"/>
      <c r="R54" s="9">
        <f t="shared" ref="R54:R65" si="13">SUM(F54:Q54)</f>
        <v>10000</v>
      </c>
    </row>
    <row r="55" spans="1:18">
      <c r="A55" s="483"/>
      <c r="B55" s="500"/>
      <c r="C55" s="486"/>
      <c r="D55" s="486"/>
      <c r="E55" s="14" t="s">
        <v>119</v>
      </c>
      <c r="F55" s="9">
        <v>0</v>
      </c>
      <c r="G55" s="146">
        <v>9000</v>
      </c>
      <c r="H55" s="146"/>
      <c r="I55" s="146"/>
      <c r="J55" s="146"/>
      <c r="K55" s="146"/>
      <c r="L55" s="146"/>
      <c r="M55" s="146">
        <v>10000</v>
      </c>
      <c r="N55" s="146">
        <v>11000</v>
      </c>
      <c r="O55" s="9"/>
      <c r="P55" s="9"/>
      <c r="Q55" s="9">
        <v>0</v>
      </c>
      <c r="R55" s="9">
        <f t="shared" si="13"/>
        <v>30000</v>
      </c>
    </row>
    <row r="56" spans="1:18">
      <c r="A56" s="483"/>
      <c r="B56" s="500"/>
      <c r="C56" s="486"/>
      <c r="D56" s="487"/>
      <c r="E56" s="14" t="s">
        <v>120</v>
      </c>
      <c r="F56" s="9"/>
      <c r="G56" s="146">
        <v>5000</v>
      </c>
      <c r="H56" s="146"/>
      <c r="I56" s="146"/>
      <c r="J56" s="146"/>
      <c r="K56" s="146"/>
      <c r="L56" s="146"/>
      <c r="M56" s="146">
        <v>5000</v>
      </c>
      <c r="N56" s="146"/>
      <c r="O56" s="9"/>
      <c r="P56" s="9"/>
      <c r="Q56" s="9"/>
      <c r="R56" s="9">
        <f t="shared" si="13"/>
        <v>10000</v>
      </c>
    </row>
    <row r="57" spans="1:18" hidden="1">
      <c r="A57" s="483"/>
      <c r="B57" s="500"/>
      <c r="C57" s="486"/>
      <c r="D57" s="17" t="s">
        <v>12</v>
      </c>
      <c r="E57" s="14" t="s">
        <v>19</v>
      </c>
      <c r="F57" s="9"/>
      <c r="G57" s="9"/>
      <c r="H57" s="9"/>
      <c r="I57" s="9"/>
      <c r="J57" s="9"/>
      <c r="K57" s="9"/>
      <c r="L57" s="9"/>
      <c r="M57" s="9"/>
      <c r="N57" s="9"/>
      <c r="O57" s="18"/>
      <c r="P57" s="9"/>
      <c r="Q57" s="9"/>
      <c r="R57" s="9">
        <f t="shared" si="13"/>
        <v>0</v>
      </c>
    </row>
    <row r="58" spans="1:18">
      <c r="A58" s="483"/>
      <c r="B58" s="500"/>
      <c r="C58" s="486"/>
      <c r="D58" s="17" t="s">
        <v>12</v>
      </c>
      <c r="E58" s="14" t="s">
        <v>18</v>
      </c>
      <c r="F58" s="9">
        <v>0</v>
      </c>
      <c r="G58" s="146">
        <v>5000</v>
      </c>
      <c r="H58" s="146"/>
      <c r="I58" s="146"/>
      <c r="J58" s="146">
        <v>5000</v>
      </c>
      <c r="K58" s="146"/>
      <c r="L58" s="146"/>
      <c r="M58" s="146">
        <v>5000</v>
      </c>
      <c r="N58" s="146"/>
      <c r="O58" s="146"/>
      <c r="P58" s="9"/>
      <c r="Q58" s="9"/>
      <c r="R58" s="9">
        <f t="shared" si="13"/>
        <v>15000</v>
      </c>
    </row>
    <row r="59" spans="1:18">
      <c r="A59" s="483"/>
      <c r="B59" s="500"/>
      <c r="C59" s="486"/>
      <c r="D59" s="17" t="s">
        <v>16</v>
      </c>
      <c r="E59" s="14" t="s">
        <v>15</v>
      </c>
      <c r="F59" s="10">
        <v>0</v>
      </c>
      <c r="G59" s="146"/>
      <c r="H59" s="146"/>
      <c r="I59" s="146"/>
      <c r="J59" s="146"/>
      <c r="K59" s="146"/>
      <c r="L59" s="146"/>
      <c r="M59" s="146"/>
      <c r="N59" s="146"/>
      <c r="O59" s="146"/>
      <c r="P59" s="9"/>
      <c r="Q59" s="9">
        <v>0</v>
      </c>
      <c r="R59" s="9">
        <f t="shared" si="13"/>
        <v>0</v>
      </c>
    </row>
    <row r="60" spans="1:18">
      <c r="A60" s="483"/>
      <c r="B60" s="485" t="s">
        <v>13</v>
      </c>
      <c r="C60" s="486"/>
      <c r="D60" s="17" t="s">
        <v>12</v>
      </c>
      <c r="E60" s="14" t="s">
        <v>11</v>
      </c>
      <c r="F60" s="9">
        <v>0</v>
      </c>
      <c r="G60" s="146">
        <v>3000</v>
      </c>
      <c r="H60" s="146"/>
      <c r="I60" s="146">
        <v>3000</v>
      </c>
      <c r="J60" s="146"/>
      <c r="K60" s="146"/>
      <c r="L60" s="146">
        <v>3000</v>
      </c>
      <c r="M60" s="146"/>
      <c r="N60" s="146"/>
      <c r="O60" s="146">
        <v>3000</v>
      </c>
      <c r="P60" s="9"/>
      <c r="Q60" s="9">
        <v>0</v>
      </c>
      <c r="R60" s="9">
        <f t="shared" si="13"/>
        <v>12000</v>
      </c>
    </row>
    <row r="61" spans="1:18">
      <c r="A61" s="483"/>
      <c r="B61" s="487"/>
      <c r="C61" s="486"/>
      <c r="D61" s="17" t="s">
        <v>10</v>
      </c>
      <c r="E61" s="14" t="s">
        <v>9</v>
      </c>
      <c r="F61" s="9">
        <v>0</v>
      </c>
      <c r="G61" s="146"/>
      <c r="H61" s="146">
        <v>7000</v>
      </c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9">
        <f t="shared" si="13"/>
        <v>7000</v>
      </c>
    </row>
    <row r="62" spans="1:18">
      <c r="A62" s="483"/>
      <c r="B62" s="485" t="s">
        <v>8</v>
      </c>
      <c r="C62" s="486"/>
      <c r="D62" s="13" t="s">
        <v>7</v>
      </c>
      <c r="E62" s="17" t="s">
        <v>6</v>
      </c>
      <c r="F62" s="9">
        <v>0</v>
      </c>
      <c r="G62" s="9"/>
      <c r="H62" s="9"/>
      <c r="I62" s="9"/>
      <c r="J62" s="9"/>
      <c r="K62" s="10"/>
      <c r="L62" s="10"/>
      <c r="M62" s="10"/>
      <c r="N62" s="10"/>
      <c r="O62" s="10"/>
      <c r="P62" s="10">
        <v>26000</v>
      </c>
      <c r="Q62" s="10">
        <v>0</v>
      </c>
      <c r="R62" s="9">
        <f t="shared" si="13"/>
        <v>26000</v>
      </c>
    </row>
    <row r="63" spans="1:18">
      <c r="A63" s="483"/>
      <c r="B63" s="486"/>
      <c r="C63" s="486"/>
      <c r="D63" s="488" t="s">
        <v>5</v>
      </c>
      <c r="E63" s="17" t="s">
        <v>121</v>
      </c>
      <c r="F63" s="9">
        <v>0</v>
      </c>
      <c r="G63" s="9"/>
      <c r="H63" s="9">
        <v>5000</v>
      </c>
      <c r="I63" s="9"/>
      <c r="J63" s="9"/>
      <c r="K63" s="10"/>
      <c r="L63" s="10"/>
      <c r="M63" s="10">
        <v>5000</v>
      </c>
      <c r="N63" s="10"/>
      <c r="O63" s="10"/>
      <c r="P63" s="144">
        <v>1438</v>
      </c>
      <c r="Q63" s="9"/>
      <c r="R63" s="9">
        <f t="shared" si="13"/>
        <v>11438</v>
      </c>
    </row>
    <row r="64" spans="1:18">
      <c r="A64" s="483"/>
      <c r="B64" s="486"/>
      <c r="C64" s="486"/>
      <c r="D64" s="489"/>
      <c r="E64" s="17" t="s">
        <v>4</v>
      </c>
      <c r="F64" s="9">
        <v>0</v>
      </c>
      <c r="G64" s="9"/>
      <c r="H64" s="9"/>
      <c r="I64" s="9"/>
      <c r="J64" s="9"/>
      <c r="K64" s="10"/>
      <c r="L64" s="10"/>
      <c r="M64" s="10"/>
      <c r="N64" s="10"/>
      <c r="O64" s="9"/>
      <c r="P64" s="9"/>
      <c r="Q64" s="9">
        <v>0</v>
      </c>
      <c r="R64" s="9">
        <f t="shared" si="13"/>
        <v>0</v>
      </c>
    </row>
    <row r="65" spans="1:18">
      <c r="A65" s="483"/>
      <c r="B65" s="487"/>
      <c r="C65" s="487"/>
      <c r="D65" s="490"/>
      <c r="E65" s="17" t="s">
        <v>3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9">
        <f t="shared" si="13"/>
        <v>0</v>
      </c>
    </row>
    <row r="66" spans="1:18" ht="17.399999999999999" customHeight="1">
      <c r="A66" s="494" t="s">
        <v>2</v>
      </c>
      <c r="B66" s="495"/>
      <c r="C66" s="495"/>
      <c r="D66" s="495"/>
      <c r="E66" s="496"/>
      <c r="F66" s="8">
        <f t="shared" ref="F66:R66" si="14">SUM(F52:F65)</f>
        <v>38000</v>
      </c>
      <c r="G66" s="8">
        <f t="shared" si="14"/>
        <v>208700</v>
      </c>
      <c r="H66" s="8">
        <f t="shared" si="14"/>
        <v>12000</v>
      </c>
      <c r="I66" s="8">
        <f t="shared" si="14"/>
        <v>3000</v>
      </c>
      <c r="J66" s="8">
        <f t="shared" si="14"/>
        <v>7500</v>
      </c>
      <c r="K66" s="8">
        <f t="shared" si="14"/>
        <v>8000</v>
      </c>
      <c r="L66" s="8">
        <f t="shared" si="14"/>
        <v>3000</v>
      </c>
      <c r="M66" s="8">
        <f t="shared" si="14"/>
        <v>30000</v>
      </c>
      <c r="N66" s="8">
        <f t="shared" si="14"/>
        <v>11000</v>
      </c>
      <c r="O66" s="8">
        <f t="shared" si="14"/>
        <v>3000</v>
      </c>
      <c r="P66" s="8">
        <f t="shared" si="14"/>
        <v>27438</v>
      </c>
      <c r="Q66" s="8">
        <f t="shared" si="14"/>
        <v>0</v>
      </c>
      <c r="R66" s="7">
        <f t="shared" si="14"/>
        <v>351638</v>
      </c>
    </row>
    <row r="67" spans="1:18">
      <c r="A67" s="497" t="s">
        <v>1</v>
      </c>
      <c r="B67" s="498"/>
      <c r="C67" s="498"/>
      <c r="D67" s="498"/>
      <c r="E67" s="499"/>
      <c r="F67" s="5">
        <f>F66*0.1</f>
        <v>3800</v>
      </c>
      <c r="G67" s="5">
        <f>(SUM(G53:G58)-4200)*17.65%+G60*17.65%+G62*17.65%</f>
        <v>36094.25</v>
      </c>
      <c r="H67" s="5">
        <f>(SUM(H53:H59))*17.65%+H60*17.65%+H62*17.65%</f>
        <v>0</v>
      </c>
      <c r="I67" s="5">
        <f t="shared" ref="I67:Q67" si="15">SUM(I53:I58)*17.65%+I60*17.65%+I62*17.65%</f>
        <v>529.5</v>
      </c>
      <c r="J67" s="5">
        <f t="shared" si="15"/>
        <v>1323.75</v>
      </c>
      <c r="K67" s="5">
        <f t="shared" si="15"/>
        <v>1412</v>
      </c>
      <c r="L67" s="5">
        <f t="shared" si="15"/>
        <v>529.5</v>
      </c>
      <c r="M67" s="5">
        <f t="shared" si="15"/>
        <v>4412.5</v>
      </c>
      <c r="N67" s="5">
        <f t="shared" si="15"/>
        <v>1941.5</v>
      </c>
      <c r="O67" s="5">
        <f t="shared" si="15"/>
        <v>529.5</v>
      </c>
      <c r="P67" s="5">
        <f t="shared" si="15"/>
        <v>4589</v>
      </c>
      <c r="Q67" s="5">
        <f t="shared" si="15"/>
        <v>0</v>
      </c>
      <c r="R67" s="5">
        <f>SUM(F67:Q67)</f>
        <v>55161.5</v>
      </c>
    </row>
    <row r="68" spans="1:18">
      <c r="A68" s="493" t="s">
        <v>0</v>
      </c>
      <c r="B68" s="493"/>
      <c r="C68" s="493"/>
      <c r="D68" s="493"/>
      <c r="E68" s="493"/>
      <c r="F68" s="6">
        <f>F66+F67</f>
        <v>41800</v>
      </c>
      <c r="G68" s="6">
        <f>G66+G67</f>
        <v>244794.25</v>
      </c>
      <c r="H68" s="6">
        <f>H66+H67</f>
        <v>12000</v>
      </c>
      <c r="I68" s="6">
        <f>I66+I67</f>
        <v>3529.5</v>
      </c>
      <c r="J68" s="6">
        <f>J66+J67-1</f>
        <v>8822.75</v>
      </c>
      <c r="K68" s="6">
        <f t="shared" ref="K68:R68" si="16">K66+K67</f>
        <v>9412</v>
      </c>
      <c r="L68" s="6">
        <f t="shared" si="16"/>
        <v>3529.5</v>
      </c>
      <c r="M68" s="6">
        <f t="shared" si="16"/>
        <v>34412.5</v>
      </c>
      <c r="N68" s="6">
        <f t="shared" si="16"/>
        <v>12941.5</v>
      </c>
      <c r="O68" s="6">
        <f t="shared" si="16"/>
        <v>3529.5</v>
      </c>
      <c r="P68" s="6">
        <f t="shared" si="16"/>
        <v>32027</v>
      </c>
      <c r="Q68" s="6">
        <f t="shared" si="16"/>
        <v>0</v>
      </c>
      <c r="R68" s="6">
        <f t="shared" si="16"/>
        <v>406799.5</v>
      </c>
    </row>
    <row r="69" spans="1:18">
      <c r="H69" s="3"/>
      <c r="I69" s="3"/>
      <c r="J69" s="3"/>
      <c r="K69" s="3"/>
      <c r="L69" s="3"/>
      <c r="M69" s="3"/>
      <c r="N69" s="3"/>
      <c r="O69" s="3"/>
      <c r="P69" s="3"/>
    </row>
    <row r="70" spans="1:18" hidden="1">
      <c r="L70" s="5"/>
      <c r="M70" s="5"/>
      <c r="N70" s="3"/>
    </row>
    <row r="71" spans="1:18" hidden="1">
      <c r="O71" s="4"/>
    </row>
    <row r="72" spans="1:18" hidden="1">
      <c r="O72" s="4"/>
      <c r="P72" s="3"/>
      <c r="R72" s="3"/>
    </row>
    <row r="73" spans="1:18" hidden="1">
      <c r="O73" s="4"/>
    </row>
    <row r="74" spans="1:18" hidden="1">
      <c r="F74" s="4"/>
      <c r="O74" s="3"/>
    </row>
    <row r="76" spans="1:18">
      <c r="F76" s="2"/>
      <c r="H76" s="2"/>
    </row>
    <row r="77" spans="1:18">
      <c r="I77" s="1"/>
    </row>
  </sheetData>
  <mergeCells count="43">
    <mergeCell ref="A66:E66"/>
    <mergeCell ref="A67:E67"/>
    <mergeCell ref="A68:E68"/>
    <mergeCell ref="A52:A65"/>
    <mergeCell ref="B52:B53"/>
    <mergeCell ref="C52:C65"/>
    <mergeCell ref="B54:B59"/>
    <mergeCell ref="D54:D56"/>
    <mergeCell ref="B60:B61"/>
    <mergeCell ref="B62:B65"/>
    <mergeCell ref="D63:D65"/>
    <mergeCell ref="A49:R49"/>
    <mergeCell ref="B27:E27"/>
    <mergeCell ref="B29:E29"/>
    <mergeCell ref="A30:E30"/>
    <mergeCell ref="A31:A45"/>
    <mergeCell ref="B31:B33"/>
    <mergeCell ref="C31:C45"/>
    <mergeCell ref="D31:D32"/>
    <mergeCell ref="B34:B39"/>
    <mergeCell ref="D34:D36"/>
    <mergeCell ref="B40:B41"/>
    <mergeCell ref="B42:B45"/>
    <mergeCell ref="D43:D45"/>
    <mergeCell ref="A46:E46"/>
    <mergeCell ref="A47:E47"/>
    <mergeCell ref="A48:E48"/>
    <mergeCell ref="A1:F1"/>
    <mergeCell ref="A3:D3"/>
    <mergeCell ref="A4:E4"/>
    <mergeCell ref="A5:A29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6"/>
    <mergeCell ref="C22:C26"/>
    <mergeCell ref="D22:D2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49" max="17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493C-3D56-4101-86A1-9CDE717D5215}">
  <sheetPr>
    <tabColor rgb="FFFF0000"/>
    <pageSetUpPr fitToPage="1"/>
  </sheetPr>
  <dimension ref="A1:U96"/>
  <sheetViews>
    <sheetView tabSelected="1" zoomScale="80" zoomScaleNormal="80" workbookViewId="0">
      <pane xSplit="4" ySplit="1" topLeftCell="F20" activePane="bottomRight" state="frozen"/>
      <selection pane="topRight" activeCell="E1" sqref="E1"/>
      <selection pane="bottomLeft" activeCell="A2" sqref="A2"/>
      <selection pane="bottomRight" activeCell="N65" sqref="N65"/>
    </sheetView>
  </sheetViews>
  <sheetFormatPr defaultRowHeight="17.399999999999999"/>
  <cols>
    <col min="1" max="1" width="7.296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37.8984375" style="148" customWidth="1"/>
    <col min="6" max="17" width="11.69921875" style="148" customWidth="1"/>
    <col min="18" max="18" width="15.5" style="148" bestFit="1" customWidth="1"/>
    <col min="19" max="19" width="11.59765625" style="148" customWidth="1"/>
    <col min="20" max="20" width="15.8984375" style="148" customWidth="1"/>
    <col min="21" max="21" width="16.3984375" style="148" bestFit="1" customWidth="1"/>
    <col min="22" max="16384" width="8.796875" style="148"/>
  </cols>
  <sheetData>
    <row r="1" spans="1:20" ht="30">
      <c r="A1" s="464" t="s">
        <v>190</v>
      </c>
      <c r="B1" s="464"/>
      <c r="C1" s="464"/>
      <c r="D1" s="464"/>
      <c r="E1" s="464"/>
      <c r="F1" s="464"/>
      <c r="R1" s="46" t="s">
        <v>206</v>
      </c>
    </row>
    <row r="2" spans="1:20" ht="17.25" customHeight="1">
      <c r="A2" s="229"/>
      <c r="B2" s="229"/>
      <c r="C2" s="229"/>
      <c r="D2" s="229"/>
      <c r="E2" s="229"/>
      <c r="F2" s="229"/>
      <c r="I2" s="4"/>
      <c r="R2" s="44" t="s">
        <v>80</v>
      </c>
    </row>
    <row r="3" spans="1:20">
      <c r="A3" s="465" t="s">
        <v>60</v>
      </c>
      <c r="B3" s="465"/>
      <c r="C3" s="465"/>
      <c r="D3" s="465"/>
      <c r="E3" s="43" t="s">
        <v>79</v>
      </c>
      <c r="F3" s="42" t="s">
        <v>191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20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/>
      <c r="M4" s="41"/>
      <c r="N4" s="41" t="s">
        <v>62</v>
      </c>
      <c r="O4" s="41"/>
      <c r="P4" s="41"/>
      <c r="Q4" s="41" t="s">
        <v>61</v>
      </c>
      <c r="R4" s="41"/>
    </row>
    <row r="5" spans="1:20">
      <c r="A5" s="469" t="s">
        <v>60</v>
      </c>
      <c r="B5" s="471" t="s">
        <v>24</v>
      </c>
      <c r="C5" s="473" t="s">
        <v>34</v>
      </c>
      <c r="D5" s="230" t="s">
        <v>59</v>
      </c>
      <c r="E5" s="39" t="s">
        <v>112</v>
      </c>
      <c r="F5" s="9"/>
      <c r="G5" s="9"/>
      <c r="H5" s="146">
        <v>57337</v>
      </c>
      <c r="I5" s="146">
        <v>112663</v>
      </c>
      <c r="J5" s="146"/>
      <c r="K5" s="146"/>
      <c r="L5" s="146"/>
      <c r="M5" s="146"/>
      <c r="N5" s="26"/>
      <c r="O5" s="26"/>
      <c r="P5" s="9"/>
      <c r="Q5" s="9"/>
      <c r="R5" s="38">
        <f t="shared" ref="R5:R18" si="0">SUM(F5:Q5)</f>
        <v>170000</v>
      </c>
    </row>
    <row r="6" spans="1:20">
      <c r="A6" s="469"/>
      <c r="B6" s="472"/>
      <c r="C6" s="472"/>
      <c r="D6" s="228" t="s">
        <v>58</v>
      </c>
      <c r="E6" s="228" t="s">
        <v>57</v>
      </c>
      <c r="F6" s="9"/>
      <c r="G6" s="9"/>
      <c r="H6" s="146">
        <v>230000</v>
      </c>
      <c r="I6" s="146">
        <v>440000</v>
      </c>
      <c r="J6" s="146">
        <v>115000</v>
      </c>
      <c r="K6" s="146"/>
      <c r="L6" s="146">
        <v>85000</v>
      </c>
      <c r="M6" s="146"/>
      <c r="N6" s="9"/>
      <c r="O6" s="9"/>
      <c r="P6" s="9"/>
      <c r="Q6" s="9"/>
      <c r="R6" s="9">
        <f>SUM(F6:Q6)</f>
        <v>870000</v>
      </c>
    </row>
    <row r="7" spans="1:20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287337</v>
      </c>
      <c r="I7" s="28">
        <f t="shared" si="1"/>
        <v>552663</v>
      </c>
      <c r="J7" s="28">
        <f>SUM(J5:J6)</f>
        <v>115000</v>
      </c>
      <c r="K7" s="28">
        <f t="shared" si="1"/>
        <v>0</v>
      </c>
      <c r="L7" s="28">
        <f>SUM(L5:L6)</f>
        <v>85000</v>
      </c>
      <c r="M7" s="28">
        <f t="shared" si="1"/>
        <v>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>SUM(F7:Q7)</f>
        <v>1040000</v>
      </c>
    </row>
    <row r="8" spans="1:20">
      <c r="A8" s="469"/>
      <c r="B8" s="471" t="s">
        <v>21</v>
      </c>
      <c r="C8" s="477" t="s">
        <v>34</v>
      </c>
      <c r="D8" s="225" t="s">
        <v>115</v>
      </c>
      <c r="E8" s="228"/>
      <c r="F8" s="9"/>
      <c r="G8" s="9"/>
      <c r="H8" s="9">
        <v>18000</v>
      </c>
      <c r="I8" s="146">
        <v>75000</v>
      </c>
      <c r="J8" s="146">
        <v>55000</v>
      </c>
      <c r="K8" s="146"/>
      <c r="L8" s="146">
        <f>10000+10000</f>
        <v>20000</v>
      </c>
      <c r="M8" s="146">
        <v>10000</v>
      </c>
      <c r="N8" s="170">
        <v>20000</v>
      </c>
      <c r="O8" s="146">
        <f>10000-O19</f>
        <v>4010</v>
      </c>
      <c r="P8" s="146">
        <f t="shared" ref="P8:Q8" si="2">10000-P19</f>
        <v>4010</v>
      </c>
      <c r="Q8" s="146">
        <f t="shared" si="2"/>
        <v>4010</v>
      </c>
      <c r="R8" s="9">
        <f>SUM(F8:Q8)</f>
        <v>210030</v>
      </c>
      <c r="S8" s="4"/>
    </row>
    <row r="9" spans="1:20">
      <c r="A9" s="469"/>
      <c r="B9" s="471"/>
      <c r="C9" s="477"/>
      <c r="D9" s="228" t="s">
        <v>116</v>
      </c>
      <c r="E9" s="228"/>
      <c r="F9" s="9"/>
      <c r="G9" s="9"/>
      <c r="H9" s="9">
        <v>5000</v>
      </c>
      <c r="I9" s="9">
        <v>5000</v>
      </c>
      <c r="J9" s="9">
        <v>10000</v>
      </c>
      <c r="K9" s="9"/>
      <c r="L9" s="449"/>
      <c r="N9" s="9"/>
      <c r="O9" s="9"/>
      <c r="P9" s="9"/>
      <c r="Q9" s="9"/>
      <c r="R9" s="9">
        <f t="shared" si="0"/>
        <v>20000</v>
      </c>
      <c r="S9" s="4"/>
    </row>
    <row r="10" spans="1:20">
      <c r="A10" s="469"/>
      <c r="B10" s="471"/>
      <c r="C10" s="477" t="s">
        <v>55</v>
      </c>
      <c r="D10" s="225" t="s">
        <v>50</v>
      </c>
      <c r="E10" s="228"/>
      <c r="F10" s="9"/>
      <c r="G10" s="9"/>
      <c r="H10" s="10"/>
      <c r="I10" s="10"/>
      <c r="J10" s="10"/>
      <c r="K10" s="9"/>
      <c r="L10" s="9"/>
      <c r="M10" s="10"/>
      <c r="O10" s="10"/>
      <c r="P10" s="9"/>
      <c r="Q10" s="9"/>
      <c r="R10" s="9">
        <f t="shared" si="0"/>
        <v>0</v>
      </c>
    </row>
    <row r="11" spans="1:20">
      <c r="A11" s="469"/>
      <c r="B11" s="471"/>
      <c r="C11" s="477"/>
      <c r="D11" s="228" t="s">
        <v>54</v>
      </c>
      <c r="E11" s="232"/>
      <c r="F11" s="9"/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20">
      <c r="A12" s="469"/>
      <c r="B12" s="471"/>
      <c r="C12" s="477"/>
      <c r="D12" s="228" t="s">
        <v>54</v>
      </c>
      <c r="E12" s="232"/>
      <c r="F12" s="9"/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20">
      <c r="A13" s="469"/>
      <c r="B13" s="471"/>
      <c r="C13" s="477"/>
      <c r="D13" s="227" t="s">
        <v>53</v>
      </c>
      <c r="E13" s="2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20">
      <c r="A14" s="469"/>
      <c r="B14" s="471"/>
      <c r="C14" s="477"/>
      <c r="D14" s="228" t="s">
        <v>52</v>
      </c>
      <c r="E14" s="2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20">
      <c r="A15" s="469"/>
      <c r="B15" s="471"/>
      <c r="C15" s="473" t="s">
        <v>39</v>
      </c>
      <c r="D15" s="226" t="s">
        <v>147</v>
      </c>
      <c r="E15" s="2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  <c r="S15" s="4"/>
    </row>
    <row r="16" spans="1:20">
      <c r="A16" s="469"/>
      <c r="B16" s="471"/>
      <c r="C16" s="471"/>
      <c r="D16" s="226" t="s">
        <v>192</v>
      </c>
      <c r="E16" s="2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  <c r="T16" s="4"/>
    </row>
    <row r="17" spans="1:20">
      <c r="A17" s="469"/>
      <c r="B17" s="471"/>
      <c r="C17" s="471"/>
      <c r="D17" s="226" t="s">
        <v>50</v>
      </c>
      <c r="E17" s="2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f t="shared" si="0"/>
        <v>0</v>
      </c>
      <c r="T17" s="4"/>
    </row>
    <row r="18" spans="1:20">
      <c r="A18" s="469"/>
      <c r="B18" s="471"/>
      <c r="C18" s="471"/>
      <c r="D18" s="226" t="s">
        <v>50</v>
      </c>
      <c r="E18" s="228" t="s">
        <v>51</v>
      </c>
      <c r="F18" s="9"/>
      <c r="G18" s="9"/>
      <c r="H18" s="146"/>
      <c r="I18" s="146"/>
      <c r="J18" s="146"/>
      <c r="K18" s="146"/>
      <c r="L18" s="146">
        <v>620</v>
      </c>
      <c r="M18" s="146"/>
      <c r="N18" s="146"/>
      <c r="O18" s="146"/>
      <c r="P18" s="146"/>
      <c r="Q18" s="9"/>
      <c r="R18" s="9">
        <f t="shared" si="0"/>
        <v>620</v>
      </c>
    </row>
    <row r="19" spans="1:20">
      <c r="A19" s="469"/>
      <c r="B19" s="471"/>
      <c r="C19" s="472"/>
      <c r="D19" s="226" t="s">
        <v>50</v>
      </c>
      <c r="E19" s="228" t="s">
        <v>49</v>
      </c>
      <c r="F19" s="9"/>
      <c r="G19" s="9"/>
      <c r="H19" s="146"/>
      <c r="I19" s="146"/>
      <c r="J19" s="146"/>
      <c r="K19" s="146"/>
      <c r="L19" s="146">
        <f>5990+5800</f>
        <v>11790</v>
      </c>
      <c r="M19" s="146">
        <v>5060</v>
      </c>
      <c r="N19" s="146">
        <v>5828</v>
      </c>
      <c r="O19" s="146">
        <v>5990</v>
      </c>
      <c r="P19" s="146">
        <v>5990</v>
      </c>
      <c r="Q19" s="9">
        <v>5990</v>
      </c>
      <c r="R19" s="9">
        <f>SUM(F19:Q19)</f>
        <v>40648</v>
      </c>
      <c r="T19" s="4"/>
    </row>
    <row r="20" spans="1:20">
      <c r="A20" s="469"/>
      <c r="B20" s="474" t="s">
        <v>48</v>
      </c>
      <c r="C20" s="475"/>
      <c r="D20" s="475"/>
      <c r="E20" s="476"/>
      <c r="F20" s="28">
        <f t="shared" ref="F20:M20" si="3">SUM(F8:F19)</f>
        <v>0</v>
      </c>
      <c r="G20" s="28">
        <f t="shared" si="3"/>
        <v>0</v>
      </c>
      <c r="H20" s="28">
        <f>SUM(H8:H19)</f>
        <v>23000</v>
      </c>
      <c r="I20" s="28">
        <f>SUM(I8:I19)</f>
        <v>80000</v>
      </c>
      <c r="J20" s="28">
        <f t="shared" si="3"/>
        <v>65000</v>
      </c>
      <c r="K20" s="28">
        <f>SUM(K8:K19)</f>
        <v>0</v>
      </c>
      <c r="L20" s="28">
        <f>SUM(L8:L19)</f>
        <v>32410</v>
      </c>
      <c r="M20" s="28">
        <f t="shared" si="3"/>
        <v>15060</v>
      </c>
      <c r="N20" s="28">
        <f>SUM(N8:N19)</f>
        <v>25828</v>
      </c>
      <c r="O20" s="28">
        <f>SUM(O8:O19)</f>
        <v>10000</v>
      </c>
      <c r="P20" s="28">
        <f>SUM(P8:P19)</f>
        <v>10000</v>
      </c>
      <c r="Q20" s="28">
        <f>SUM(Q8:Q19)</f>
        <v>10000</v>
      </c>
      <c r="R20" s="28">
        <f>SUM(R8:R19)</f>
        <v>271298</v>
      </c>
      <c r="T20" s="2"/>
    </row>
    <row r="21" spans="1:20" hidden="1">
      <c r="A21" s="469"/>
      <c r="B21" s="233" t="s">
        <v>14</v>
      </c>
      <c r="C21" s="233" t="s">
        <v>34</v>
      </c>
      <c r="D21" s="231" t="s">
        <v>14</v>
      </c>
      <c r="E21" s="29" t="s">
        <v>47</v>
      </c>
      <c r="F21" s="9">
        <v>0</v>
      </c>
      <c r="G21" s="9">
        <v>0</v>
      </c>
      <c r="H21" s="9"/>
      <c r="I21" s="9"/>
      <c r="J21" s="9"/>
      <c r="K21" s="9"/>
      <c r="L21" s="9"/>
      <c r="M21" s="9"/>
      <c r="N21" s="9"/>
      <c r="O21" s="9"/>
      <c r="P21" s="9">
        <v>0</v>
      </c>
      <c r="Q21" s="9">
        <v>0</v>
      </c>
      <c r="R21" s="9">
        <f>SUM(F21:Q21)</f>
        <v>0</v>
      </c>
    </row>
    <row r="22" spans="1:20" hidden="1">
      <c r="A22" s="469"/>
      <c r="B22" s="474" t="s">
        <v>46</v>
      </c>
      <c r="C22" s="475"/>
      <c r="D22" s="475"/>
      <c r="E22" s="476"/>
      <c r="F22" s="28">
        <f t="shared" ref="F22:R22" si="4">SUM(F21:F21)</f>
        <v>0</v>
      </c>
      <c r="G22" s="28">
        <f t="shared" si="4"/>
        <v>0</v>
      </c>
      <c r="H22" s="28">
        <f t="shared" si="4"/>
        <v>0</v>
      </c>
      <c r="I22" s="28">
        <f t="shared" si="4"/>
        <v>0</v>
      </c>
      <c r="J22" s="28">
        <f t="shared" si="4"/>
        <v>0</v>
      </c>
      <c r="K22" s="28">
        <f t="shared" si="4"/>
        <v>0</v>
      </c>
      <c r="L22" s="28">
        <f t="shared" si="4"/>
        <v>0</v>
      </c>
      <c r="M22" s="28">
        <f t="shared" si="4"/>
        <v>0</v>
      </c>
      <c r="N22" s="28">
        <f t="shared" si="4"/>
        <v>0</v>
      </c>
      <c r="O22" s="28">
        <f t="shared" si="4"/>
        <v>0</v>
      </c>
      <c r="P22" s="28">
        <f t="shared" si="4"/>
        <v>0</v>
      </c>
      <c r="Q22" s="28">
        <f t="shared" si="4"/>
        <v>0</v>
      </c>
      <c r="R22" s="28">
        <f t="shared" si="4"/>
        <v>0</v>
      </c>
    </row>
    <row r="23" spans="1:20" hidden="1">
      <c r="A23" s="469"/>
      <c r="B23" s="478" t="s">
        <v>45</v>
      </c>
      <c r="C23" s="473" t="s">
        <v>34</v>
      </c>
      <c r="D23" s="473" t="s">
        <v>44</v>
      </c>
      <c r="E23" s="33" t="s">
        <v>43</v>
      </c>
      <c r="F23" s="9">
        <v>0</v>
      </c>
      <c r="G23" s="9">
        <v>0</v>
      </c>
      <c r="H23" s="9"/>
      <c r="I23" s="9"/>
      <c r="J23" s="9"/>
      <c r="K23" s="9"/>
      <c r="L23" s="9"/>
      <c r="M23" s="9"/>
      <c r="N23" s="9"/>
      <c r="O23" s="9"/>
      <c r="P23" s="9">
        <v>0</v>
      </c>
      <c r="Q23" s="9">
        <v>0</v>
      </c>
      <c r="R23" s="9">
        <f t="shared" ref="R23:R29" si="5">SUM(F23:Q23)</f>
        <v>0</v>
      </c>
    </row>
    <row r="24" spans="1:20" hidden="1">
      <c r="A24" s="469"/>
      <c r="B24" s="479"/>
      <c r="C24" s="471"/>
      <c r="D24" s="471"/>
      <c r="E24" s="3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5"/>
        <v>0</v>
      </c>
    </row>
    <row r="25" spans="1:20" hidden="1">
      <c r="A25" s="469"/>
      <c r="B25" s="479"/>
      <c r="C25" s="471"/>
      <c r="D25" s="471"/>
      <c r="E25" s="33" t="s">
        <v>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5"/>
        <v>0</v>
      </c>
    </row>
    <row r="26" spans="1:20" hidden="1">
      <c r="A26" s="469"/>
      <c r="B26" s="479"/>
      <c r="C26" s="472"/>
      <c r="D26" s="472"/>
      <c r="E26" s="29" t="s">
        <v>40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f t="shared" si="5"/>
        <v>0</v>
      </c>
    </row>
    <row r="27" spans="1:20">
      <c r="A27" s="469"/>
      <c r="B27" s="479"/>
      <c r="C27" s="450" t="s">
        <v>203</v>
      </c>
      <c r="D27" s="450" t="s">
        <v>203</v>
      </c>
      <c r="E27" s="29" t="s">
        <v>204</v>
      </c>
      <c r="F27" s="9"/>
      <c r="G27" s="9"/>
      <c r="H27" s="9"/>
      <c r="I27" s="9">
        <v>87600</v>
      </c>
      <c r="J27" s="9"/>
      <c r="K27" s="9"/>
      <c r="L27" s="9">
        <f>56600+56600+14000</f>
        <v>127200</v>
      </c>
      <c r="M27" s="9">
        <v>14000</v>
      </c>
      <c r="N27" s="9">
        <v>14000</v>
      </c>
      <c r="O27" s="9"/>
      <c r="P27" s="9"/>
      <c r="Q27" s="9"/>
      <c r="R27" s="9">
        <f>SUM(F27:Q27)</f>
        <v>242800</v>
      </c>
      <c r="S27" s="4"/>
    </row>
    <row r="28" spans="1:20">
      <c r="A28" s="469"/>
      <c r="B28" s="479"/>
      <c r="C28" s="473" t="s">
        <v>39</v>
      </c>
      <c r="D28" s="473" t="s">
        <v>39</v>
      </c>
      <c r="E28" s="29" t="s">
        <v>205</v>
      </c>
      <c r="F28" s="149">
        <v>18000</v>
      </c>
      <c r="G28" s="149">
        <v>18000</v>
      </c>
      <c r="H28" s="149">
        <v>18000</v>
      </c>
      <c r="I28" s="149">
        <v>22600</v>
      </c>
      <c r="J28" s="9"/>
      <c r="K28" s="9"/>
      <c r="L28" s="16">
        <f>4600+4600</f>
        <v>9200</v>
      </c>
      <c r="M28" s="9"/>
      <c r="N28" s="9"/>
      <c r="O28" s="9"/>
      <c r="P28" s="9"/>
      <c r="Q28" s="9"/>
      <c r="R28" s="9">
        <f>SUM(F28:Q28)</f>
        <v>85800</v>
      </c>
    </row>
    <row r="29" spans="1:20" hidden="1">
      <c r="A29" s="469"/>
      <c r="B29" s="479"/>
      <c r="C29" s="472"/>
      <c r="D29" s="472"/>
      <c r="E29" s="29" t="s">
        <v>37</v>
      </c>
      <c r="F29" s="9">
        <v>0</v>
      </c>
      <c r="G29" s="9">
        <v>0</v>
      </c>
      <c r="H29" s="9"/>
      <c r="I29" s="9"/>
      <c r="J29" s="9"/>
      <c r="K29" s="9"/>
      <c r="L29" s="9"/>
      <c r="M29" s="9"/>
      <c r="N29" s="9"/>
      <c r="O29" s="9"/>
      <c r="P29" s="9">
        <v>0</v>
      </c>
      <c r="Q29" s="9">
        <v>0</v>
      </c>
      <c r="R29" s="9">
        <f t="shared" si="5"/>
        <v>0</v>
      </c>
    </row>
    <row r="30" spans="1:20">
      <c r="A30" s="469"/>
      <c r="B30" s="474" t="s">
        <v>36</v>
      </c>
      <c r="C30" s="475"/>
      <c r="D30" s="475"/>
      <c r="E30" s="476"/>
      <c r="F30" s="28">
        <f t="shared" ref="F30:Q30" si="6">SUM(F23:F29)</f>
        <v>18000</v>
      </c>
      <c r="G30" s="28">
        <f t="shared" si="6"/>
        <v>18000</v>
      </c>
      <c r="H30" s="28">
        <f t="shared" si="6"/>
        <v>18000</v>
      </c>
      <c r="I30" s="28">
        <f t="shared" si="6"/>
        <v>110200</v>
      </c>
      <c r="J30" s="28">
        <f t="shared" si="6"/>
        <v>0</v>
      </c>
      <c r="K30" s="28">
        <f t="shared" si="6"/>
        <v>0</v>
      </c>
      <c r="L30" s="28">
        <f>SUM(L23:L29)</f>
        <v>136400</v>
      </c>
      <c r="M30" s="28">
        <f t="shared" si="6"/>
        <v>14000</v>
      </c>
      <c r="N30" s="28">
        <f t="shared" si="6"/>
        <v>14000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>SUM(R23:R29)</f>
        <v>328600</v>
      </c>
      <c r="S30" s="2"/>
      <c r="T30" s="4"/>
    </row>
    <row r="31" spans="1:20" hidden="1">
      <c r="A31" s="469"/>
      <c r="B31" s="233" t="s">
        <v>35</v>
      </c>
      <c r="C31" s="231" t="s">
        <v>34</v>
      </c>
      <c r="D31" s="231" t="s">
        <v>33</v>
      </c>
      <c r="E31" s="29" t="s">
        <v>32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20" hidden="1">
      <c r="A32" s="470"/>
      <c r="B32" s="474" t="s">
        <v>31</v>
      </c>
      <c r="C32" s="475"/>
      <c r="D32" s="475"/>
      <c r="E32" s="476"/>
      <c r="F32" s="28">
        <f t="shared" ref="F32:R32" si="7">SUM(F31:F31)</f>
        <v>0</v>
      </c>
      <c r="G32" s="28">
        <f t="shared" si="7"/>
        <v>0</v>
      </c>
      <c r="H32" s="28">
        <f t="shared" si="7"/>
        <v>0</v>
      </c>
      <c r="I32" s="28">
        <f t="shared" si="7"/>
        <v>0</v>
      </c>
      <c r="J32" s="28">
        <f t="shared" si="7"/>
        <v>0</v>
      </c>
      <c r="K32" s="28">
        <f t="shared" si="7"/>
        <v>0</v>
      </c>
      <c r="L32" s="28">
        <f t="shared" si="7"/>
        <v>0</v>
      </c>
      <c r="M32" s="28">
        <f t="shared" si="7"/>
        <v>0</v>
      </c>
      <c r="N32" s="28">
        <f t="shared" si="7"/>
        <v>0</v>
      </c>
      <c r="O32" s="28">
        <f t="shared" si="7"/>
        <v>0</v>
      </c>
      <c r="P32" s="28">
        <f t="shared" si="7"/>
        <v>0</v>
      </c>
      <c r="Q32" s="28">
        <f t="shared" si="7"/>
        <v>0</v>
      </c>
      <c r="R32" s="28">
        <f t="shared" si="7"/>
        <v>0</v>
      </c>
    </row>
    <row r="33" spans="1:21">
      <c r="A33" s="481" t="s">
        <v>30</v>
      </c>
      <c r="B33" s="481"/>
      <c r="C33" s="481"/>
      <c r="D33" s="481"/>
      <c r="E33" s="481"/>
      <c r="F33" s="27">
        <f>F30</f>
        <v>18000</v>
      </c>
      <c r="G33" s="27">
        <f>G30</f>
        <v>18000</v>
      </c>
      <c r="H33" s="27">
        <f>H7+H20+H30+H32</f>
        <v>328337</v>
      </c>
      <c r="I33" s="27">
        <f>I7+I20+I22+I30+I32</f>
        <v>742863</v>
      </c>
      <c r="J33" s="27">
        <f>J7+J20+J22+J30+J32</f>
        <v>180000</v>
      </c>
      <c r="K33" s="27">
        <f t="shared" ref="K33:Q33" si="8">K7+K20+K30+K32</f>
        <v>0</v>
      </c>
      <c r="L33" s="27">
        <f>L7+L20+L30+L32</f>
        <v>253810</v>
      </c>
      <c r="M33" s="27">
        <f t="shared" si="8"/>
        <v>29060</v>
      </c>
      <c r="N33" s="27">
        <f t="shared" si="8"/>
        <v>39828</v>
      </c>
      <c r="O33" s="27">
        <f>O7+O20+O30+O32</f>
        <v>10000</v>
      </c>
      <c r="P33" s="27">
        <f t="shared" si="8"/>
        <v>10000</v>
      </c>
      <c r="Q33" s="27">
        <f t="shared" si="8"/>
        <v>10000</v>
      </c>
      <c r="R33" s="27">
        <f>R7+R20+R30</f>
        <v>1639898</v>
      </c>
      <c r="S33" s="4"/>
      <c r="T33" s="4"/>
    </row>
    <row r="34" spans="1:21">
      <c r="A34" s="482" t="s">
        <v>17</v>
      </c>
      <c r="B34" s="485" t="s">
        <v>24</v>
      </c>
      <c r="C34" s="488" t="s">
        <v>17</v>
      </c>
      <c r="D34" s="485" t="s">
        <v>23</v>
      </c>
      <c r="E34" s="228" t="s">
        <v>201</v>
      </c>
      <c r="F34" s="9"/>
      <c r="G34" s="9"/>
      <c r="H34" s="449"/>
      <c r="I34" s="9">
        <v>70000</v>
      </c>
      <c r="J34" s="9">
        <v>280000</v>
      </c>
      <c r="K34" s="9"/>
      <c r="L34" s="9"/>
      <c r="M34" s="26"/>
      <c r="N34" s="9"/>
      <c r="O34" s="9"/>
      <c r="P34" s="9"/>
      <c r="Q34" s="9"/>
      <c r="R34" s="9">
        <f>SUM(F34:Q34)</f>
        <v>350000</v>
      </c>
    </row>
    <row r="35" spans="1:21" ht="17.399999999999999" hidden="1" customHeight="1">
      <c r="A35" s="483"/>
      <c r="B35" s="486"/>
      <c r="C35" s="489"/>
      <c r="D35" s="486"/>
      <c r="E35" s="228" t="s">
        <v>29</v>
      </c>
      <c r="F35" s="9"/>
      <c r="G35" s="9"/>
      <c r="H35" s="9"/>
      <c r="I35" s="9"/>
      <c r="J35" s="9"/>
      <c r="K35" s="9"/>
      <c r="L35" s="9"/>
      <c r="M35" s="26"/>
      <c r="N35" s="9"/>
      <c r="O35" s="9"/>
      <c r="P35" s="9"/>
      <c r="Q35" s="9"/>
      <c r="R35" s="9">
        <f t="shared" ref="R35:R36" si="9">SUM(F35:Q35)</f>
        <v>0</v>
      </c>
    </row>
    <row r="36" spans="1:21">
      <c r="A36" s="483"/>
      <c r="B36" s="486"/>
      <c r="C36" s="489"/>
      <c r="D36" s="487"/>
      <c r="E36" s="445" t="s">
        <v>202</v>
      </c>
      <c r="F36" s="9"/>
      <c r="G36" s="9"/>
      <c r="H36" s="449"/>
      <c r="I36" s="9">
        <v>35000</v>
      </c>
      <c r="J36" s="9"/>
      <c r="K36" s="9"/>
      <c r="L36" s="9"/>
      <c r="M36" s="26"/>
      <c r="N36" s="9"/>
      <c r="O36" s="9"/>
      <c r="P36" s="9"/>
      <c r="Q36" s="9"/>
      <c r="R36" s="9">
        <f t="shared" si="9"/>
        <v>35000</v>
      </c>
    </row>
    <row r="37" spans="1:21">
      <c r="A37" s="483"/>
      <c r="B37" s="486"/>
      <c r="C37" s="489"/>
      <c r="D37" s="485" t="s">
        <v>17</v>
      </c>
      <c r="E37" s="441" t="s">
        <v>193</v>
      </c>
      <c r="F37" s="9"/>
      <c r="G37" s="9"/>
      <c r="H37" s="9">
        <f>H58*1.1765</f>
        <v>197416.7</v>
      </c>
      <c r="I37" s="9"/>
      <c r="J37" s="9"/>
      <c r="K37" s="9"/>
      <c r="L37" s="9"/>
      <c r="M37" s="26"/>
      <c r="N37" s="9"/>
      <c r="O37" s="9"/>
      <c r="P37" s="9"/>
      <c r="Q37" s="9"/>
      <c r="R37" s="9">
        <f>SUM(F37:Q37)</f>
        <v>197416.7</v>
      </c>
    </row>
    <row r="38" spans="1:21">
      <c r="A38" s="483"/>
      <c r="B38" s="487"/>
      <c r="C38" s="489"/>
      <c r="D38" s="487"/>
      <c r="E38" s="228" t="s">
        <v>194</v>
      </c>
      <c r="F38" s="9"/>
      <c r="G38" s="146"/>
      <c r="H38" s="146">
        <f>H59*1.1765</f>
        <v>41530.450000000004</v>
      </c>
      <c r="J38" s="146"/>
      <c r="K38" s="146"/>
      <c r="L38" s="146"/>
      <c r="M38" s="146"/>
      <c r="N38" s="9"/>
      <c r="O38" s="9"/>
      <c r="P38" s="9"/>
      <c r="Q38" s="9"/>
      <c r="R38" s="156">
        <f>SUM(F38:Q38)</f>
        <v>41530.450000000004</v>
      </c>
    </row>
    <row r="39" spans="1:21" ht="17.399999999999999" customHeight="1">
      <c r="A39" s="483"/>
      <c r="B39" s="485" t="s">
        <v>21</v>
      </c>
      <c r="C39" s="486"/>
      <c r="D39" s="443" t="s">
        <v>20</v>
      </c>
      <c r="E39" s="14" t="s">
        <v>118</v>
      </c>
      <c r="F39" s="9"/>
      <c r="G39" s="146"/>
      <c r="H39" s="146"/>
      <c r="I39" s="146"/>
      <c r="J39" s="146"/>
      <c r="K39" s="146"/>
      <c r="L39" s="146"/>
      <c r="M39" s="146"/>
      <c r="N39" s="146"/>
      <c r="O39" s="9"/>
      <c r="P39" s="9"/>
      <c r="Q39" s="9"/>
      <c r="R39" s="156">
        <f>SUM(F39:Q39)</f>
        <v>0</v>
      </c>
    </row>
    <row r="40" spans="1:21">
      <c r="A40" s="483"/>
      <c r="B40" s="486"/>
      <c r="C40" s="486"/>
      <c r="D40" s="443" t="s">
        <v>196</v>
      </c>
      <c r="E40" s="14" t="s">
        <v>119</v>
      </c>
      <c r="F40" s="9"/>
      <c r="G40" s="146"/>
      <c r="H40" s="146"/>
      <c r="I40" s="146"/>
      <c r="J40" s="146"/>
      <c r="K40" s="146"/>
      <c r="L40" s="35"/>
      <c r="M40" s="35"/>
      <c r="N40" s="12">
        <f>N61*1.1765</f>
        <v>264260.72400000005</v>
      </c>
      <c r="O40" s="9"/>
      <c r="P40" s="9"/>
      <c r="Q40" s="9"/>
      <c r="R40" s="156">
        <f>SUM(F40:Q40)</f>
        <v>264260.72400000005</v>
      </c>
    </row>
    <row r="41" spans="1:21">
      <c r="A41" s="483"/>
      <c r="B41" s="486"/>
      <c r="C41" s="486"/>
      <c r="D41" s="443" t="s">
        <v>195</v>
      </c>
      <c r="E41" s="14" t="s">
        <v>120</v>
      </c>
      <c r="F41" s="9"/>
      <c r="G41" s="146"/>
      <c r="H41" s="146"/>
      <c r="I41" s="146">
        <f>I62*1.1765</f>
        <v>1529.45</v>
      </c>
      <c r="K41" s="146"/>
      <c r="M41" s="455">
        <f>M62*1.1765</f>
        <v>10155.548000000001</v>
      </c>
      <c r="N41" s="461">
        <f>N62*1.1765</f>
        <v>1058.8500000000001</v>
      </c>
      <c r="O41" s="146"/>
      <c r="P41" s="146"/>
      <c r="Q41" s="146"/>
      <c r="R41" s="156">
        <f>SUM(F41:Q41)</f>
        <v>12743.848000000002</v>
      </c>
    </row>
    <row r="42" spans="1:21" ht="17.399999999999999" hidden="1" customHeight="1">
      <c r="A42" s="483"/>
      <c r="B42" s="486"/>
      <c r="C42" s="486"/>
      <c r="D42" s="228" t="s">
        <v>12</v>
      </c>
      <c r="E42" s="14" t="s">
        <v>19</v>
      </c>
      <c r="F42" s="9"/>
      <c r="G42" s="9"/>
      <c r="H42" s="9"/>
      <c r="I42" s="9"/>
      <c r="J42" s="9"/>
      <c r="K42" s="9"/>
      <c r="L42" s="9"/>
      <c r="M42" s="9"/>
      <c r="N42" s="9"/>
      <c r="O42" s="24"/>
      <c r="P42" s="16"/>
      <c r="Q42" s="9"/>
      <c r="R42" s="156">
        <f t="shared" ref="R42" si="10">SUM(F42:Q42)</f>
        <v>0</v>
      </c>
    </row>
    <row r="43" spans="1:21">
      <c r="A43" s="483"/>
      <c r="B43" s="486"/>
      <c r="C43" s="486"/>
      <c r="D43" s="228" t="s">
        <v>12</v>
      </c>
      <c r="E43" s="14" t="s">
        <v>18</v>
      </c>
      <c r="F43" s="149"/>
      <c r="G43" s="146"/>
      <c r="H43" s="146">
        <v>2000</v>
      </c>
      <c r="I43" s="146">
        <f>2541+3050</f>
        <v>5591</v>
      </c>
      <c r="J43" s="146"/>
      <c r="K43" s="146"/>
      <c r="L43" s="146"/>
      <c r="M43" s="454">
        <f>M64*1.1765</f>
        <v>941.2</v>
      </c>
      <c r="N43" s="146"/>
      <c r="O43" s="146"/>
      <c r="P43" s="16"/>
      <c r="Q43" s="9"/>
      <c r="R43" s="156">
        <f t="shared" ref="R43:R50" si="11">SUM(F43:Q43)</f>
        <v>8532.2000000000007</v>
      </c>
      <c r="S43" s="4"/>
    </row>
    <row r="44" spans="1:21">
      <c r="A44" s="483"/>
      <c r="B44" s="487"/>
      <c r="C44" s="486"/>
      <c r="D44" s="228" t="s">
        <v>200</v>
      </c>
      <c r="E44" s="14" t="s">
        <v>137</v>
      </c>
      <c r="F44" s="9"/>
      <c r="G44" s="16"/>
      <c r="H44" s="146">
        <f t="shared" ref="H44:I45" si="12">H65*1.1765</f>
        <v>18824</v>
      </c>
      <c r="I44" s="146">
        <f>I65*1.1765</f>
        <v>4117.75</v>
      </c>
      <c r="K44" s="449"/>
      <c r="L44" s="453">
        <v>1470</v>
      </c>
      <c r="M44" s="457">
        <v>20800</v>
      </c>
      <c r="N44" s="146"/>
      <c r="O44" s="16"/>
      <c r="P44" s="16"/>
      <c r="R44" s="156">
        <f t="shared" si="11"/>
        <v>45211.75</v>
      </c>
      <c r="S44" s="4"/>
    </row>
    <row r="45" spans="1:21">
      <c r="A45" s="483"/>
      <c r="B45" s="485" t="s">
        <v>13</v>
      </c>
      <c r="C45" s="486"/>
      <c r="D45" s="443" t="s">
        <v>198</v>
      </c>
      <c r="E45" s="14" t="s">
        <v>11</v>
      </c>
      <c r="F45" s="9"/>
      <c r="G45" s="146"/>
      <c r="H45" s="146">
        <f t="shared" si="12"/>
        <v>13529.750000000002</v>
      </c>
      <c r="I45" s="146">
        <f t="shared" si="12"/>
        <v>1529.45</v>
      </c>
      <c r="J45" s="9">
        <f>J66*1.1765</f>
        <v>1235.325</v>
      </c>
      <c r="K45" s="146"/>
      <c r="L45" s="9">
        <f>L66*1.1765</f>
        <v>1470.6250000000002</v>
      </c>
      <c r="M45" s="146"/>
      <c r="N45" s="146"/>
      <c r="O45" s="16"/>
      <c r="P45" s="16"/>
      <c r="Q45" s="146"/>
      <c r="R45" s="156">
        <f>SUM(F45:Q45)</f>
        <v>17765.150000000005</v>
      </c>
      <c r="S45" s="4"/>
    </row>
    <row r="46" spans="1:21">
      <c r="A46" s="483"/>
      <c r="B46" s="487"/>
      <c r="C46" s="486"/>
      <c r="D46" s="443" t="s">
        <v>197</v>
      </c>
      <c r="E46" s="14" t="s">
        <v>130</v>
      </c>
      <c r="F46" s="9"/>
      <c r="G46" s="9"/>
      <c r="I46" s="444">
        <v>7468</v>
      </c>
      <c r="J46" s="146"/>
      <c r="K46" s="146"/>
      <c r="L46" s="146"/>
      <c r="M46" s="454">
        <v>400</v>
      </c>
      <c r="N46" s="146"/>
      <c r="O46" s="146"/>
      <c r="P46" s="9"/>
      <c r="Q46" s="9"/>
      <c r="R46" s="156">
        <f t="shared" si="11"/>
        <v>7868</v>
      </c>
      <c r="U46" s="2"/>
    </row>
    <row r="47" spans="1:21">
      <c r="A47" s="483"/>
      <c r="B47" s="485" t="s">
        <v>8</v>
      </c>
      <c r="C47" s="486"/>
      <c r="D47" s="13" t="s">
        <v>199</v>
      </c>
      <c r="E47" s="228" t="s">
        <v>6</v>
      </c>
      <c r="F47" s="9"/>
      <c r="G47" s="9"/>
      <c r="H47" s="9"/>
      <c r="I47" s="146"/>
      <c r="J47" s="146"/>
      <c r="K47" s="158"/>
      <c r="L47" s="158"/>
      <c r="M47" s="158"/>
      <c r="N47" s="158"/>
      <c r="O47" s="158"/>
      <c r="P47" s="10"/>
      <c r="R47" s="156">
        <f>SUM(F47:Q47)</f>
        <v>0</v>
      </c>
      <c r="T47" s="2"/>
    </row>
    <row r="48" spans="1:21">
      <c r="A48" s="483"/>
      <c r="B48" s="486"/>
      <c r="C48" s="486"/>
      <c r="D48" s="488" t="s">
        <v>5</v>
      </c>
      <c r="E48" s="228" t="s">
        <v>125</v>
      </c>
      <c r="F48" s="9"/>
      <c r="H48" s="449"/>
      <c r="J48" s="146"/>
      <c r="L48" s="158">
        <v>1080</v>
      </c>
      <c r="M48" s="146">
        <f t="shared" ref="M48" si="13">M69</f>
        <v>4829</v>
      </c>
      <c r="N48" s="158">
        <f>2485+735</f>
        <v>3220</v>
      </c>
      <c r="O48" s="446"/>
      <c r="P48" s="146"/>
      <c r="Q48" s="146"/>
      <c r="R48" s="156">
        <f>SUM(F48:Q48)</f>
        <v>9129</v>
      </c>
      <c r="S48" s="4"/>
      <c r="T48" s="4"/>
      <c r="U48" s="2"/>
    </row>
    <row r="49" spans="1:21">
      <c r="A49" s="483"/>
      <c r="B49" s="486"/>
      <c r="C49" s="486"/>
      <c r="D49" s="489"/>
      <c r="E49" s="228" t="s">
        <v>126</v>
      </c>
      <c r="F49" s="9"/>
      <c r="G49" s="9"/>
      <c r="H49" s="9">
        <v>100</v>
      </c>
      <c r="I49" s="9"/>
      <c r="K49" s="10"/>
      <c r="L49" s="9">
        <v>2686</v>
      </c>
      <c r="M49" s="9"/>
      <c r="N49" s="149">
        <v>1858</v>
      </c>
      <c r="O49" s="9"/>
      <c r="P49" s="9"/>
      <c r="Q49" s="9"/>
      <c r="R49" s="156">
        <f t="shared" si="11"/>
        <v>4644</v>
      </c>
      <c r="S49" s="2"/>
      <c r="T49" s="2"/>
    </row>
    <row r="50" spans="1:21">
      <c r="A50" s="484"/>
      <c r="B50" s="487"/>
      <c r="C50" s="487"/>
      <c r="D50" s="490"/>
      <c r="E50" s="228" t="s">
        <v>127</v>
      </c>
      <c r="F50" s="9"/>
      <c r="G50" s="9"/>
      <c r="H50" s="9"/>
      <c r="I50" s="9"/>
      <c r="J50" s="9"/>
      <c r="K50" s="10"/>
      <c r="L50" s="10"/>
      <c r="M50" s="10"/>
      <c r="N50" s="10"/>
      <c r="O50" s="9"/>
      <c r="P50" s="9"/>
      <c r="Q50" s="9"/>
      <c r="R50" s="156">
        <f t="shared" si="11"/>
        <v>0</v>
      </c>
    </row>
    <row r="51" spans="1:21">
      <c r="A51" s="491" t="s">
        <v>133</v>
      </c>
      <c r="B51" s="491"/>
      <c r="C51" s="491"/>
      <c r="D51" s="491"/>
      <c r="E51" s="491"/>
      <c r="F51" s="8">
        <f>SUM(F34:F50)</f>
        <v>0</v>
      </c>
      <c r="G51" s="8">
        <f>SUM(G34:G50)</f>
        <v>0</v>
      </c>
      <c r="H51" s="447">
        <f>SUM(H34:H50)</f>
        <v>273400.90000000002</v>
      </c>
      <c r="I51" s="8">
        <f>SUM(I34:I50)</f>
        <v>125235.65</v>
      </c>
      <c r="J51" s="8">
        <f>SUM(J34:J50)</f>
        <v>281235.32500000001</v>
      </c>
      <c r="K51" s="8">
        <f t="shared" ref="K51:Q51" si="14">SUM(K34:K50)</f>
        <v>0</v>
      </c>
      <c r="L51" s="8">
        <f>SUM(L34:L50)</f>
        <v>6706.625</v>
      </c>
      <c r="M51" s="8">
        <f>SUM(M34:M50)</f>
        <v>37125.748</v>
      </c>
      <c r="N51" s="23">
        <f t="shared" si="14"/>
        <v>270397.57400000002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7">
        <f>SUM(R34:R50)</f>
        <v>994101.82199999993</v>
      </c>
      <c r="S51" s="2"/>
      <c r="T51" s="4"/>
    </row>
    <row r="52" spans="1:21">
      <c r="A52" s="492" t="s">
        <v>28</v>
      </c>
      <c r="B52" s="492"/>
      <c r="C52" s="492"/>
      <c r="D52" s="492"/>
      <c r="E52" s="492"/>
      <c r="F52" s="22">
        <f>SUM(F33,F51)</f>
        <v>18000</v>
      </c>
      <c r="G52" s="22">
        <f t="shared" ref="G52:N52" si="15">G33+G51</f>
        <v>18000</v>
      </c>
      <c r="H52" s="22">
        <f>H33+H51</f>
        <v>601737.9</v>
      </c>
      <c r="I52" s="22">
        <f>I33+I51</f>
        <v>868098.65</v>
      </c>
      <c r="J52" s="22">
        <f t="shared" si="15"/>
        <v>461235.32500000001</v>
      </c>
      <c r="K52" s="22">
        <f t="shared" si="15"/>
        <v>0</v>
      </c>
      <c r="L52" s="22">
        <f t="shared" si="15"/>
        <v>260516.625</v>
      </c>
      <c r="M52" s="22">
        <f t="shared" si="15"/>
        <v>66185.747999999992</v>
      </c>
      <c r="N52" s="22">
        <f t="shared" si="15"/>
        <v>310225.57400000002</v>
      </c>
      <c r="O52" s="22">
        <f>O33+O51</f>
        <v>10000</v>
      </c>
      <c r="P52" s="22">
        <f>SUM(P33,P51)</f>
        <v>10000</v>
      </c>
      <c r="Q52" s="22">
        <f>SUM(Q33,Q51)</f>
        <v>10000</v>
      </c>
      <c r="R52" s="22">
        <f>R33+R51</f>
        <v>2633999.8219999997</v>
      </c>
      <c r="S52" s="4">
        <v>2664000</v>
      </c>
      <c r="T52" s="4"/>
      <c r="U52" s="3"/>
    </row>
    <row r="53" spans="1:21">
      <c r="A53" s="493" t="s">
        <v>132</v>
      </c>
      <c r="B53" s="493"/>
      <c r="C53" s="493"/>
      <c r="D53" s="493"/>
      <c r="E53" s="493"/>
      <c r="F53" s="21">
        <f>F33+F51</f>
        <v>18000</v>
      </c>
      <c r="G53" s="21">
        <f>G33+G51</f>
        <v>18000</v>
      </c>
      <c r="H53" s="21">
        <f>SUM(H52:H52)</f>
        <v>601737.9</v>
      </c>
      <c r="I53" s="21">
        <f>SUM(I52:I52)</f>
        <v>868098.65</v>
      </c>
      <c r="J53" s="21">
        <f t="shared" ref="J53:Q53" si="16">SUM(J52:J52)</f>
        <v>461235.32500000001</v>
      </c>
      <c r="K53" s="21">
        <f t="shared" si="16"/>
        <v>0</v>
      </c>
      <c r="L53" s="21">
        <f t="shared" si="16"/>
        <v>260516.625</v>
      </c>
      <c r="M53" s="21">
        <f t="shared" si="16"/>
        <v>66185.747999999992</v>
      </c>
      <c r="N53" s="21">
        <f t="shared" si="16"/>
        <v>310225.57400000002</v>
      </c>
      <c r="O53" s="21">
        <f t="shared" si="16"/>
        <v>10000</v>
      </c>
      <c r="P53" s="21">
        <f>SUM(P52:P52)</f>
        <v>10000</v>
      </c>
      <c r="Q53" s="21">
        <f t="shared" si="16"/>
        <v>10000</v>
      </c>
      <c r="R53" s="21">
        <f>R33+R51</f>
        <v>2633999.8219999997</v>
      </c>
      <c r="S53" s="4">
        <f>R52-S52</f>
        <v>-30000.178000000305</v>
      </c>
      <c r="T53" s="2"/>
    </row>
    <row r="54" spans="1:21" ht="69" customHeight="1">
      <c r="A54" s="480" t="s">
        <v>135</v>
      </c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"/>
    </row>
    <row r="55" spans="1:21">
      <c r="H55" s="3"/>
      <c r="I55" s="3"/>
      <c r="J55" s="3"/>
      <c r="K55" s="3"/>
      <c r="L55" s="3"/>
      <c r="M55" s="458"/>
      <c r="N55" s="458"/>
      <c r="O55" s="458"/>
      <c r="P55" s="458"/>
      <c r="Q55" s="3"/>
      <c r="R55" s="3"/>
    </row>
    <row r="56" spans="1:21">
      <c r="A56" s="20" t="s">
        <v>25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459"/>
      <c r="N56" s="462"/>
      <c r="O56" s="463"/>
      <c r="P56" s="19"/>
      <c r="Q56" s="19"/>
      <c r="R56" s="19"/>
    </row>
    <row r="57" spans="1:21">
      <c r="A57" s="482" t="s">
        <v>17</v>
      </c>
      <c r="B57" s="485" t="s">
        <v>24</v>
      </c>
      <c r="C57" s="488" t="s">
        <v>17</v>
      </c>
      <c r="D57" s="445" t="s">
        <v>23</v>
      </c>
      <c r="E57" s="442" t="s">
        <v>29</v>
      </c>
      <c r="F57" s="9">
        <v>0</v>
      </c>
      <c r="G57" s="10"/>
      <c r="H57" s="9"/>
      <c r="I57" s="9">
        <v>35000</v>
      </c>
      <c r="J57" s="9"/>
      <c r="K57" s="9"/>
      <c r="L57" s="9"/>
      <c r="M57" s="10"/>
      <c r="N57" s="9"/>
      <c r="O57" s="9"/>
      <c r="P57" s="9"/>
      <c r="Q57" s="9"/>
      <c r="R57" s="9">
        <f>SUM(F57:Q57)</f>
        <v>35000</v>
      </c>
    </row>
    <row r="58" spans="1:21">
      <c r="A58" s="483"/>
      <c r="B58" s="486"/>
      <c r="C58" s="489"/>
      <c r="D58" s="485" t="s">
        <v>17</v>
      </c>
      <c r="E58" s="442" t="s">
        <v>193</v>
      </c>
      <c r="F58" s="9"/>
      <c r="G58" s="10"/>
      <c r="H58" s="9">
        <f>163000+4800</f>
        <v>167800</v>
      </c>
      <c r="I58" s="9"/>
      <c r="J58" s="9"/>
      <c r="K58" s="9"/>
      <c r="L58" s="9"/>
      <c r="M58" s="10"/>
      <c r="N58" s="9"/>
      <c r="O58" s="9"/>
      <c r="P58" s="9"/>
      <c r="Q58" s="9"/>
      <c r="R58" s="9">
        <f t="shared" ref="R58:R68" si="17">SUM(F58:Q58)</f>
        <v>167800</v>
      </c>
      <c r="S58" s="4"/>
    </row>
    <row r="59" spans="1:21">
      <c r="A59" s="483"/>
      <c r="B59" s="487"/>
      <c r="C59" s="489"/>
      <c r="D59" s="487"/>
      <c r="E59" s="442" t="s">
        <v>194</v>
      </c>
      <c r="F59" s="9"/>
      <c r="G59" s="146"/>
      <c r="H59" s="146">
        <v>35300</v>
      </c>
      <c r="I59" s="451"/>
      <c r="J59" s="146"/>
      <c r="K59" s="146"/>
      <c r="L59" s="146"/>
      <c r="M59" s="10"/>
      <c r="N59" s="9"/>
      <c r="O59" s="9"/>
      <c r="P59" s="9"/>
      <c r="Q59" s="9"/>
      <c r="R59" s="9">
        <f t="shared" si="17"/>
        <v>35300</v>
      </c>
    </row>
    <row r="60" spans="1:21" ht="17.399999999999999" customHeight="1">
      <c r="A60" s="483"/>
      <c r="B60" s="500" t="s">
        <v>21</v>
      </c>
      <c r="C60" s="486"/>
      <c r="D60" s="443" t="s">
        <v>20</v>
      </c>
      <c r="E60" s="14" t="s">
        <v>118</v>
      </c>
      <c r="F60" s="9"/>
      <c r="G60" s="146"/>
      <c r="H60" s="146"/>
      <c r="I60" s="146"/>
      <c r="J60" s="146"/>
      <c r="K60" s="146"/>
      <c r="L60" s="146"/>
      <c r="M60" s="146"/>
      <c r="N60" s="146"/>
      <c r="O60" s="9"/>
      <c r="P60" s="9"/>
      <c r="Q60" s="9"/>
      <c r="R60" s="9">
        <f t="shared" si="17"/>
        <v>0</v>
      </c>
    </row>
    <row r="61" spans="1:21">
      <c r="A61" s="483"/>
      <c r="B61" s="500"/>
      <c r="C61" s="486"/>
      <c r="D61" s="443" t="s">
        <v>196</v>
      </c>
      <c r="E61" s="14" t="s">
        <v>119</v>
      </c>
      <c r="F61" s="9">
        <v>0</v>
      </c>
      <c r="G61" s="146"/>
      <c r="H61" s="146"/>
      <c r="I61" s="146"/>
      <c r="J61" s="146"/>
      <c r="K61" s="146"/>
      <c r="L61" s="35"/>
      <c r="M61" s="35"/>
      <c r="N61" s="12">
        <f>238815-5828-8371</f>
        <v>224616</v>
      </c>
      <c r="O61" s="9"/>
      <c r="P61" s="9"/>
      <c r="Q61" s="9"/>
      <c r="R61" s="9">
        <f t="shared" si="17"/>
        <v>224616</v>
      </c>
    </row>
    <row r="62" spans="1:21">
      <c r="A62" s="483"/>
      <c r="B62" s="500"/>
      <c r="C62" s="486"/>
      <c r="D62" s="443" t="s">
        <v>195</v>
      </c>
      <c r="E62" s="14" t="s">
        <v>120</v>
      </c>
      <c r="F62" s="9"/>
      <c r="G62" s="146"/>
      <c r="H62" s="146"/>
      <c r="I62" s="146">
        <v>1300</v>
      </c>
      <c r="K62" s="146"/>
      <c r="M62" s="456">
        <v>8632</v>
      </c>
      <c r="N62" s="460">
        <v>900</v>
      </c>
      <c r="O62" s="146"/>
      <c r="P62" s="146"/>
      <c r="Q62" s="146"/>
      <c r="R62" s="9">
        <f t="shared" si="17"/>
        <v>10832</v>
      </c>
    </row>
    <row r="63" spans="1:21" hidden="1">
      <c r="A63" s="483"/>
      <c r="B63" s="500"/>
      <c r="C63" s="486"/>
      <c r="D63" s="228" t="s">
        <v>12</v>
      </c>
      <c r="E63" s="14" t="s">
        <v>19</v>
      </c>
      <c r="F63" s="9"/>
      <c r="G63" s="146"/>
      <c r="H63" s="9"/>
      <c r="I63" s="9"/>
      <c r="J63" s="9"/>
      <c r="K63" s="9"/>
      <c r="L63" s="9"/>
      <c r="M63" s="9"/>
      <c r="N63" s="9"/>
      <c r="O63" s="18"/>
      <c r="P63" s="9"/>
      <c r="Q63" s="9"/>
      <c r="R63" s="9">
        <f t="shared" si="17"/>
        <v>0</v>
      </c>
    </row>
    <row r="64" spans="1:21">
      <c r="A64" s="483"/>
      <c r="B64" s="500"/>
      <c r="C64" s="486"/>
      <c r="D64" s="228" t="s">
        <v>12</v>
      </c>
      <c r="E64" s="14" t="s">
        <v>18</v>
      </c>
      <c r="F64" s="9">
        <v>0</v>
      </c>
      <c r="G64" s="146"/>
      <c r="H64" s="146">
        <v>1550</v>
      </c>
      <c r="I64" s="146">
        <f>2050+2600</f>
        <v>4650</v>
      </c>
      <c r="J64" s="146"/>
      <c r="K64" s="146"/>
      <c r="L64" s="146"/>
      <c r="M64" s="454">
        <v>800</v>
      </c>
      <c r="N64" s="146"/>
      <c r="O64" s="146"/>
      <c r="P64" s="9"/>
      <c r="Q64" s="9"/>
      <c r="R64" s="9"/>
      <c r="S64" s="4"/>
    </row>
    <row r="65" spans="1:20">
      <c r="A65" s="483"/>
      <c r="B65" s="500"/>
      <c r="C65" s="486"/>
      <c r="D65" s="443" t="s">
        <v>200</v>
      </c>
      <c r="E65" s="14" t="s">
        <v>137</v>
      </c>
      <c r="F65" s="10">
        <v>0</v>
      </c>
      <c r="G65" s="146"/>
      <c r="H65" s="146">
        <v>16000</v>
      </c>
      <c r="I65" s="452">
        <v>3500</v>
      </c>
      <c r="J65" s="449"/>
      <c r="L65" s="453">
        <v>1249</v>
      </c>
      <c r="M65" s="454">
        <v>20000</v>
      </c>
      <c r="N65" s="146"/>
      <c r="O65" s="146"/>
      <c r="P65" s="9"/>
      <c r="R65" s="9">
        <f t="shared" si="17"/>
        <v>40749</v>
      </c>
    </row>
    <row r="66" spans="1:20">
      <c r="A66" s="483"/>
      <c r="B66" s="485" t="s">
        <v>13</v>
      </c>
      <c r="C66" s="486"/>
      <c r="D66" s="228" t="s">
        <v>198</v>
      </c>
      <c r="E66" s="14" t="s">
        <v>11</v>
      </c>
      <c r="F66" s="9">
        <v>0</v>
      </c>
      <c r="G66" s="146"/>
      <c r="H66" s="146">
        <f>11500</f>
        <v>11500</v>
      </c>
      <c r="I66" s="146">
        <v>1300</v>
      </c>
      <c r="J66" s="146">
        <v>1050</v>
      </c>
      <c r="K66" s="146"/>
      <c r="L66" s="146">
        <v>1250</v>
      </c>
      <c r="N66" s="146"/>
      <c r="O66" s="146"/>
      <c r="P66" s="9"/>
      <c r="Q66" s="9"/>
      <c r="R66" s="9">
        <f t="shared" si="17"/>
        <v>15100</v>
      </c>
    </row>
    <row r="67" spans="1:20">
      <c r="A67" s="483"/>
      <c r="B67" s="487"/>
      <c r="C67" s="486"/>
      <c r="D67" s="443" t="s">
        <v>197</v>
      </c>
      <c r="E67" s="14" t="s">
        <v>130</v>
      </c>
      <c r="F67" s="9">
        <v>0</v>
      </c>
      <c r="G67" s="146"/>
      <c r="I67" s="444">
        <v>7468</v>
      </c>
      <c r="J67" s="146"/>
      <c r="K67" s="146"/>
      <c r="L67" s="146"/>
      <c r="M67" s="454">
        <v>400</v>
      </c>
      <c r="N67" s="146"/>
      <c r="O67" s="146"/>
      <c r="P67" s="9"/>
      <c r="Q67" s="9"/>
      <c r="R67" s="9">
        <f t="shared" si="17"/>
        <v>7868</v>
      </c>
    </row>
    <row r="68" spans="1:20">
      <c r="A68" s="483"/>
      <c r="B68" s="485" t="s">
        <v>8</v>
      </c>
      <c r="C68" s="486"/>
      <c r="D68" s="13" t="s">
        <v>199</v>
      </c>
      <c r="E68" s="442" t="s">
        <v>6</v>
      </c>
      <c r="F68" s="9">
        <v>0</v>
      </c>
      <c r="G68" s="9"/>
      <c r="H68" s="9"/>
      <c r="I68" s="9"/>
      <c r="J68" s="9"/>
      <c r="K68" s="10"/>
      <c r="L68" s="10"/>
      <c r="M68" s="10"/>
      <c r="N68" s="10"/>
      <c r="O68" s="10"/>
      <c r="P68" s="10"/>
      <c r="R68" s="9">
        <f t="shared" si="17"/>
        <v>0</v>
      </c>
      <c r="T68" s="2"/>
    </row>
    <row r="69" spans="1:20">
      <c r="A69" s="483"/>
      <c r="B69" s="486"/>
      <c r="C69" s="486"/>
      <c r="D69" s="488" t="s">
        <v>5</v>
      </c>
      <c r="E69" s="442" t="s">
        <v>125</v>
      </c>
      <c r="F69" s="9">
        <v>0</v>
      </c>
      <c r="G69" s="9"/>
      <c r="H69" s="9"/>
      <c r="J69" s="146"/>
      <c r="L69" s="158">
        <f>2566+1200</f>
        <v>3766</v>
      </c>
      <c r="M69" s="146">
        <f>2566+2263</f>
        <v>4829</v>
      </c>
      <c r="N69" s="158">
        <v>3220</v>
      </c>
      <c r="O69" s="446"/>
      <c r="P69" s="446"/>
      <c r="Q69" s="146"/>
      <c r="R69" s="9">
        <f>SUM(F69:Q69)</f>
        <v>11815</v>
      </c>
    </row>
    <row r="70" spans="1:20">
      <c r="A70" s="483"/>
      <c r="B70" s="486"/>
      <c r="C70" s="486"/>
      <c r="D70" s="489"/>
      <c r="E70" s="442" t="s">
        <v>126</v>
      </c>
      <c r="F70" s="9">
        <v>0</v>
      </c>
      <c r="G70" s="9"/>
      <c r="H70" s="9">
        <v>100</v>
      </c>
      <c r="I70" s="9"/>
      <c r="K70" s="10"/>
      <c r="L70" s="9"/>
      <c r="M70" s="9"/>
      <c r="N70" s="10"/>
      <c r="O70" s="9"/>
      <c r="P70" s="9"/>
      <c r="Q70" s="9"/>
      <c r="R70" s="9">
        <f>SUM(F70:Q70)</f>
        <v>100</v>
      </c>
    </row>
    <row r="71" spans="1:20">
      <c r="A71" s="483"/>
      <c r="B71" s="487"/>
      <c r="C71" s="487"/>
      <c r="D71" s="490"/>
      <c r="E71" s="442" t="s">
        <v>127</v>
      </c>
      <c r="F71" s="9">
        <v>0</v>
      </c>
      <c r="G71" s="9"/>
      <c r="H71" s="9"/>
      <c r="I71" s="9"/>
      <c r="J71" s="9"/>
      <c r="K71" s="10"/>
      <c r="L71" s="10"/>
      <c r="M71" s="10"/>
      <c r="N71" s="10"/>
      <c r="O71" s="9"/>
      <c r="P71" s="9"/>
      <c r="Q71" s="9"/>
      <c r="R71" s="9">
        <f>SUM(F71:Q71)</f>
        <v>0</v>
      </c>
    </row>
    <row r="72" spans="1:20" ht="17.399999999999999" customHeight="1">
      <c r="A72" s="494" t="s">
        <v>134</v>
      </c>
      <c r="B72" s="495"/>
      <c r="C72" s="495"/>
      <c r="D72" s="495"/>
      <c r="E72" s="496"/>
      <c r="F72" s="8">
        <f t="shared" ref="F72:Q72" si="18">SUM(F57:F71)</f>
        <v>0</v>
      </c>
      <c r="G72" s="8">
        <f t="shared" si="18"/>
        <v>0</v>
      </c>
      <c r="H72" s="8">
        <f>SUM(H57:H71)</f>
        <v>232250</v>
      </c>
      <c r="I72" s="8">
        <f>SUM(I57:I71)</f>
        <v>53218</v>
      </c>
      <c r="J72" s="8">
        <f>SUM(J57:J71)</f>
        <v>1050</v>
      </c>
      <c r="K72" s="8">
        <f t="shared" si="18"/>
        <v>0</v>
      </c>
      <c r="L72" s="8">
        <f>SUM(L57:L71)</f>
        <v>6265</v>
      </c>
      <c r="M72" s="8">
        <f>SUM(M57:M71)</f>
        <v>34661</v>
      </c>
      <c r="N72" s="8">
        <f t="shared" si="18"/>
        <v>228736</v>
      </c>
      <c r="O72" s="8">
        <f t="shared" si="18"/>
        <v>0</v>
      </c>
      <c r="P72" s="8">
        <f t="shared" si="18"/>
        <v>0</v>
      </c>
      <c r="Q72" s="8">
        <f t="shared" si="18"/>
        <v>0</v>
      </c>
      <c r="R72" s="448">
        <f>SUM(R57:R71)</f>
        <v>549180</v>
      </c>
      <c r="T72" s="2"/>
    </row>
    <row r="73" spans="1:20">
      <c r="A73" s="497" t="s">
        <v>1</v>
      </c>
      <c r="B73" s="498"/>
      <c r="C73" s="498"/>
      <c r="D73" s="498"/>
      <c r="E73" s="499"/>
      <c r="F73" s="5">
        <f>SUM(F59:F64)*17.65%+F66*17.65%+F68*17.65%</f>
        <v>0</v>
      </c>
      <c r="G73" s="5">
        <f>(SUM(G59:G64))*17.65%+G66*17.65%+G68*17.65%+G57*0.1</f>
        <v>0</v>
      </c>
      <c r="H73" s="5">
        <f>(SUM(H58:H65))*17.65%+H66*17.65%+H68*17.65%+H57*0.1</f>
        <v>40974.474999999999</v>
      </c>
      <c r="I73" s="5">
        <f>(SUM(I58:I65))*17.65%+I66*17.65%+I68*17.65%</f>
        <v>1897.375</v>
      </c>
      <c r="J73" s="5">
        <f>(SUM(J58:J65))*17.65%+J66*17.65%+J68*17.65%+J57*0.1</f>
        <v>185.32499999999999</v>
      </c>
      <c r="K73" s="5">
        <f>(SUM(K58:K65))*17.65%+K66*17.65%+K68*17.65%+K57*0.1</f>
        <v>0</v>
      </c>
      <c r="L73" s="5">
        <f>(SUM(L58:L66))*17.65%+L68*17.65%+L57*0.1</f>
        <v>441.07349999999997</v>
      </c>
      <c r="M73" s="5">
        <f>(SUM(M58:M65))*17.65%+M65*17.65%+M68*17.65%+M57*0.1</f>
        <v>8724.7479999999996</v>
      </c>
      <c r="N73" s="5">
        <f>(SUM(N58:N65))*17.65%+N66*17.65%+N68*17.65%+N57*0.1</f>
        <v>39803.574000000001</v>
      </c>
      <c r="O73" s="5">
        <f t="shared" ref="O73:Q73" si="19">(SUM(O58:O65))*17.65%+O66*17.65%+O68*17.65%+O57*0.1</f>
        <v>0</v>
      </c>
      <c r="P73" s="5">
        <f t="shared" si="19"/>
        <v>0</v>
      </c>
      <c r="Q73" s="5">
        <f t="shared" si="19"/>
        <v>0</v>
      </c>
      <c r="R73" s="5">
        <f>SUM(F73:Q73)</f>
        <v>92026.570500000002</v>
      </c>
      <c r="S73" s="2"/>
    </row>
    <row r="74" spans="1:20">
      <c r="A74" s="493" t="s">
        <v>133</v>
      </c>
      <c r="B74" s="493"/>
      <c r="C74" s="493"/>
      <c r="D74" s="493"/>
      <c r="E74" s="493"/>
      <c r="F74" s="6">
        <f t="shared" ref="F74:R74" si="20">F72+F73</f>
        <v>0</v>
      </c>
      <c r="G74" s="6">
        <f t="shared" si="20"/>
        <v>0</v>
      </c>
      <c r="H74" s="6">
        <f>H72+H73+176</f>
        <v>273400.47499999998</v>
      </c>
      <c r="I74" s="6">
        <f>I72+I73+120</f>
        <v>55235.375</v>
      </c>
      <c r="J74" s="6">
        <f>J72+J73</f>
        <v>1235.325</v>
      </c>
      <c r="K74" s="6">
        <f t="shared" si="20"/>
        <v>0</v>
      </c>
      <c r="L74" s="6">
        <f>L72+L73</f>
        <v>6706.0735000000004</v>
      </c>
      <c r="M74" s="6">
        <f t="shared" si="20"/>
        <v>43385.748</v>
      </c>
      <c r="N74" s="6">
        <f t="shared" si="20"/>
        <v>268539.57400000002</v>
      </c>
      <c r="O74" s="6">
        <f t="shared" si="20"/>
        <v>0</v>
      </c>
      <c r="P74" s="6">
        <f t="shared" si="20"/>
        <v>0</v>
      </c>
      <c r="Q74" s="6">
        <f t="shared" si="20"/>
        <v>0</v>
      </c>
      <c r="R74" s="6">
        <f t="shared" si="20"/>
        <v>641206.57050000003</v>
      </c>
      <c r="S74" s="2"/>
      <c r="T74" s="2"/>
    </row>
    <row r="75" spans="1:20">
      <c r="H75" s="3"/>
      <c r="I75" s="3"/>
      <c r="J75" s="3"/>
      <c r="K75" s="3"/>
      <c r="L75" s="3"/>
      <c r="M75" s="3"/>
      <c r="N75" s="3"/>
      <c r="O75" s="3"/>
      <c r="P75" s="3"/>
      <c r="R75" s="2"/>
      <c r="S75" s="4"/>
    </row>
    <row r="76" spans="1:20" hidden="1">
      <c r="L76" s="5"/>
      <c r="M76" s="5"/>
      <c r="N76" s="3"/>
    </row>
    <row r="77" spans="1:20" hidden="1">
      <c r="O77" s="4"/>
    </row>
    <row r="78" spans="1:20" hidden="1">
      <c r="O78" s="4"/>
      <c r="P78" s="3"/>
      <c r="R78" s="3"/>
    </row>
    <row r="79" spans="1:20" hidden="1">
      <c r="O79" s="4"/>
    </row>
    <row r="80" spans="1:20" hidden="1">
      <c r="F80" s="4"/>
      <c r="O80" s="3"/>
    </row>
    <row r="81" spans="5:19">
      <c r="H81" s="2"/>
      <c r="I81" s="2"/>
      <c r="J81" s="2"/>
      <c r="L81" s="4"/>
      <c r="M81" s="4"/>
      <c r="N81" s="4"/>
      <c r="O81" s="4"/>
      <c r="P81" s="4"/>
      <c r="Q81" s="4"/>
      <c r="R81" s="2"/>
      <c r="S81" s="2"/>
    </row>
    <row r="82" spans="5:19">
      <c r="F82" s="2"/>
      <c r="H82" s="2"/>
      <c r="I82" s="2"/>
      <c r="J82" s="2"/>
    </row>
    <row r="83" spans="5:19">
      <c r="I83" s="1"/>
    </row>
    <row r="86" spans="5:19">
      <c r="E86" s="224"/>
    </row>
    <row r="87" spans="5:19">
      <c r="E87" s="224"/>
    </row>
    <row r="88" spans="5:19">
      <c r="E88" s="224"/>
    </row>
    <row r="89" spans="5:19">
      <c r="E89" s="224"/>
    </row>
    <row r="90" spans="5:19">
      <c r="E90" s="224"/>
    </row>
    <row r="91" spans="5:19">
      <c r="E91" s="224"/>
    </row>
    <row r="92" spans="5:19">
      <c r="E92" s="224"/>
      <c r="F92" s="44"/>
      <c r="G92" s="44"/>
      <c r="H92" s="44"/>
    </row>
    <row r="93" spans="5:19">
      <c r="E93" s="224"/>
      <c r="F93" s="4"/>
      <c r="G93" s="4"/>
    </row>
    <row r="94" spans="5:19">
      <c r="E94" s="224"/>
      <c r="F94" s="4"/>
      <c r="G94" s="4"/>
    </row>
    <row r="95" spans="5:19">
      <c r="E95" s="224"/>
      <c r="F95" s="4"/>
      <c r="G95" s="4"/>
    </row>
    <row r="96" spans="5:19">
      <c r="F96" s="4"/>
      <c r="G96" s="4"/>
    </row>
  </sheetData>
  <mergeCells count="45">
    <mergeCell ref="A72:E72"/>
    <mergeCell ref="A73:E73"/>
    <mergeCell ref="A74:E74"/>
    <mergeCell ref="C15:C19"/>
    <mergeCell ref="A57:A71"/>
    <mergeCell ref="B57:B59"/>
    <mergeCell ref="C57:C71"/>
    <mergeCell ref="B60:B65"/>
    <mergeCell ref="B66:B67"/>
    <mergeCell ref="B68:B71"/>
    <mergeCell ref="D69:D71"/>
    <mergeCell ref="B47:B50"/>
    <mergeCell ref="D48:D50"/>
    <mergeCell ref="A51:E51"/>
    <mergeCell ref="A52:E52"/>
    <mergeCell ref="C28:C29"/>
    <mergeCell ref="D28:D29"/>
    <mergeCell ref="A53:E53"/>
    <mergeCell ref="A54:R54"/>
    <mergeCell ref="B30:E30"/>
    <mergeCell ref="B32:E32"/>
    <mergeCell ref="A33:E33"/>
    <mergeCell ref="A34:A50"/>
    <mergeCell ref="B34:B38"/>
    <mergeCell ref="C34:C50"/>
    <mergeCell ref="B39:B44"/>
    <mergeCell ref="B45:B46"/>
    <mergeCell ref="D37:D38"/>
    <mergeCell ref="D34:D36"/>
    <mergeCell ref="D58:D59"/>
    <mergeCell ref="A1:F1"/>
    <mergeCell ref="A3:D3"/>
    <mergeCell ref="A4:E4"/>
    <mergeCell ref="A5:A32"/>
    <mergeCell ref="B5:B6"/>
    <mergeCell ref="C5:C6"/>
    <mergeCell ref="B7:E7"/>
    <mergeCell ref="B8:B19"/>
    <mergeCell ref="C8:C9"/>
    <mergeCell ref="C10:C14"/>
    <mergeCell ref="B20:E20"/>
    <mergeCell ref="B22:E22"/>
    <mergeCell ref="B23:B29"/>
    <mergeCell ref="C23:C26"/>
    <mergeCell ref="D23:D2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4" max="17" man="1"/>
    <brk id="74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5101-73EF-40E0-8013-9340801B3B09}">
  <sheetPr>
    <tabColor rgb="FFFF0000"/>
    <pageSetUpPr fitToPage="1"/>
  </sheetPr>
  <dimension ref="A1:U91"/>
  <sheetViews>
    <sheetView zoomScale="80" zoomScaleNormal="80" workbookViewId="0">
      <selection activeCell="Q36" sqref="Q36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hidden="1" customWidth="1"/>
    <col min="11" max="11" width="14.69921875" style="148" hidden="1" customWidth="1"/>
    <col min="12" max="12" width="13.69921875" style="148" hidden="1" customWidth="1"/>
    <col min="13" max="13" width="13" style="148" hidden="1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12.09765625" style="148" bestFit="1" customWidth="1"/>
    <col min="20" max="20" width="12.69921875" style="148" customWidth="1"/>
    <col min="21" max="16384" width="8.796875" style="148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142</v>
      </c>
    </row>
    <row r="2" spans="1:18" ht="17.25" customHeight="1">
      <c r="A2" s="201"/>
      <c r="B2" s="201"/>
      <c r="C2" s="201"/>
      <c r="D2" s="201"/>
      <c r="E2" s="201"/>
      <c r="F2" s="201"/>
      <c r="I2" s="4">
        <v>168102000</v>
      </c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202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69"/>
      <c r="B6" s="472"/>
      <c r="C6" s="472"/>
      <c r="D6" s="200" t="s">
        <v>58</v>
      </c>
      <c r="E6" s="200" t="s">
        <v>57</v>
      </c>
      <c r="F6" s="9">
        <v>0</v>
      </c>
      <c r="G6" s="9"/>
      <c r="H6" s="146">
        <v>300000000</v>
      </c>
      <c r="I6" s="146">
        <v>340000000</v>
      </c>
      <c r="J6" s="146">
        <v>340000</v>
      </c>
      <c r="K6" s="146">
        <v>70000</v>
      </c>
      <c r="L6" s="146">
        <v>70000</v>
      </c>
      <c r="M6" s="146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640610000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300000000</v>
      </c>
      <c r="I7" s="28">
        <f t="shared" si="1"/>
        <v>340000000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640810000</v>
      </c>
    </row>
    <row r="8" spans="1:18">
      <c r="A8" s="469"/>
      <c r="B8" s="471" t="s">
        <v>21</v>
      </c>
      <c r="C8" s="477" t="s">
        <v>34</v>
      </c>
      <c r="D8" s="197" t="s">
        <v>115</v>
      </c>
      <c r="E8" s="200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>
      <c r="A9" s="469"/>
      <c r="B9" s="471"/>
      <c r="C9" s="477"/>
      <c r="D9" s="200" t="s">
        <v>116</v>
      </c>
      <c r="E9" s="200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>
      <c r="A10" s="469"/>
      <c r="B10" s="471"/>
      <c r="C10" s="477" t="s">
        <v>55</v>
      </c>
      <c r="D10" s="197" t="s">
        <v>50</v>
      </c>
      <c r="E10" s="200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200" t="s">
        <v>54</v>
      </c>
      <c r="E11" s="204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200" t="s">
        <v>54</v>
      </c>
      <c r="E12" s="204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199" t="s">
        <v>53</v>
      </c>
      <c r="E13" s="200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200" t="s">
        <v>52</v>
      </c>
      <c r="E14" s="200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>
      <c r="A15" s="469"/>
      <c r="B15" s="471"/>
      <c r="C15" s="473" t="s">
        <v>39</v>
      </c>
      <c r="D15" s="198" t="s">
        <v>50</v>
      </c>
      <c r="E15" s="200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>
      <c r="A16" s="469"/>
      <c r="B16" s="471"/>
      <c r="C16" s="471"/>
      <c r="D16" s="198" t="s">
        <v>50</v>
      </c>
      <c r="E16" s="200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198" t="s">
        <v>50</v>
      </c>
      <c r="E17" s="200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500</v>
      </c>
      <c r="L17" s="146">
        <v>1030</v>
      </c>
      <c r="M17" s="146">
        <v>500</v>
      </c>
      <c r="N17" s="146">
        <v>1030</v>
      </c>
      <c r="O17" s="146">
        <v>500</v>
      </c>
      <c r="P17" s="146">
        <v>1030</v>
      </c>
      <c r="Q17" s="9"/>
      <c r="R17" s="9">
        <f t="shared" si="0"/>
        <v>7680</v>
      </c>
    </row>
    <row r="18" spans="1:21">
      <c r="A18" s="469"/>
      <c r="B18" s="471"/>
      <c r="C18" s="471"/>
      <c r="D18" s="198" t="s">
        <v>50</v>
      </c>
      <c r="E18" s="200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5000</v>
      </c>
      <c r="L18" s="146">
        <v>4440</v>
      </c>
      <c r="M18" s="146">
        <v>5000</v>
      </c>
      <c r="N18" s="146">
        <v>4440</v>
      </c>
      <c r="O18" s="146">
        <v>5000</v>
      </c>
      <c r="P18" s="146">
        <v>4440</v>
      </c>
      <c r="Q18" s="9"/>
      <c r="R18" s="9">
        <f t="shared" si="0"/>
        <v>46290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>SUM(O8:O18)</f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205" t="s">
        <v>14</v>
      </c>
      <c r="C20" s="205" t="s">
        <v>34</v>
      </c>
      <c r="D20" s="203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69"/>
      <c r="B22" s="478" t="s">
        <v>45</v>
      </c>
      <c r="C22" s="473" t="s">
        <v>34</v>
      </c>
      <c r="D22" s="473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69"/>
      <c r="B23" s="479"/>
      <c r="C23" s="471"/>
      <c r="D23" s="471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69"/>
      <c r="B24" s="479"/>
      <c r="C24" s="471"/>
      <c r="D24" s="471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69"/>
      <c r="B25" s="479"/>
      <c r="C25" s="472"/>
      <c r="D25" s="472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69"/>
      <c r="B26" s="479"/>
      <c r="C26" s="473" t="s">
        <v>39</v>
      </c>
      <c r="D26" s="473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69"/>
      <c r="B27" s="479"/>
      <c r="C27" s="472"/>
      <c r="D27" s="472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69"/>
      <c r="B28" s="474" t="s">
        <v>36</v>
      </c>
      <c r="C28" s="475"/>
      <c r="D28" s="475"/>
      <c r="E28" s="476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69"/>
      <c r="B29" s="205" t="s">
        <v>35</v>
      </c>
      <c r="C29" s="203" t="s">
        <v>34</v>
      </c>
      <c r="D29" s="203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0"/>
      <c r="B30" s="474" t="s">
        <v>31</v>
      </c>
      <c r="C30" s="475"/>
      <c r="D30" s="475"/>
      <c r="E30" s="476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81" t="s">
        <v>30</v>
      </c>
      <c r="B31" s="481"/>
      <c r="C31" s="481"/>
      <c r="D31" s="481"/>
      <c r="E31" s="481"/>
      <c r="F31" s="27">
        <f>F7+F19</f>
        <v>0</v>
      </c>
      <c r="G31" s="27">
        <f>G7+G19</f>
        <v>0</v>
      </c>
      <c r="H31" s="27">
        <f>H7+H19+H28+H30</f>
        <v>300000000</v>
      </c>
      <c r="I31" s="27">
        <f>I7+I19+I21+I28+I30</f>
        <v>340212442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641483000</v>
      </c>
      <c r="T31" s="2"/>
      <c r="U31" s="2"/>
    </row>
    <row r="32" spans="1:21">
      <c r="A32" s="482" t="s">
        <v>17</v>
      </c>
      <c r="B32" s="485" t="s">
        <v>24</v>
      </c>
      <c r="C32" s="488" t="s">
        <v>17</v>
      </c>
      <c r="D32" s="485" t="s">
        <v>23</v>
      </c>
      <c r="E32" s="200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>
      <c r="A33" s="483"/>
      <c r="B33" s="486"/>
      <c r="C33" s="489"/>
      <c r="D33" s="487"/>
      <c r="E33" s="200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>
      <c r="A34" s="483"/>
      <c r="B34" s="487"/>
      <c r="C34" s="489"/>
      <c r="D34" s="198" t="s">
        <v>17</v>
      </c>
      <c r="E34" s="200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>
        <v>2200</v>
      </c>
      <c r="M34" s="170">
        <f>1500*1.1</f>
        <v>1650.0000000000002</v>
      </c>
      <c r="N34" s="9"/>
      <c r="O34" s="9"/>
      <c r="P34" s="9"/>
      <c r="Q34" s="9"/>
      <c r="R34" s="156">
        <f>SUM(F34:Q34)</f>
        <v>167501.15</v>
      </c>
      <c r="U34" s="2"/>
    </row>
    <row r="35" spans="1:21" ht="17.399999999999999" customHeight="1">
      <c r="A35" s="483"/>
      <c r="B35" s="485" t="s">
        <v>21</v>
      </c>
      <c r="C35" s="486"/>
      <c r="D35" s="48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>
      <c r="A36" s="483"/>
      <c r="B36" s="486"/>
      <c r="C36" s="486"/>
      <c r="D36" s="486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170">
        <f>44738*1.1765-30-50</f>
        <v>52554.257000000005</v>
      </c>
      <c r="R36" s="156">
        <f t="shared" si="8"/>
        <v>52554.257000000005</v>
      </c>
      <c r="T36" s="2">
        <v>52554000</v>
      </c>
    </row>
    <row r="37" spans="1:21">
      <c r="A37" s="483"/>
      <c r="B37" s="486"/>
      <c r="C37" s="486"/>
      <c r="D37" s="487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f t="shared" ref="O37:Q37" si="10">2700*1.1765</f>
        <v>3176.55</v>
      </c>
      <c r="P37" s="170">
        <f t="shared" si="10"/>
        <v>3176.55</v>
      </c>
      <c r="Q37" s="170">
        <f t="shared" si="10"/>
        <v>3176.55</v>
      </c>
      <c r="R37" s="156">
        <f>SUM(F37:Q37)</f>
        <v>28941.899999999998</v>
      </c>
      <c r="T37" s="2"/>
    </row>
    <row r="38" spans="1:21" ht="17.399999999999999" hidden="1" customHeight="1">
      <c r="A38" s="483"/>
      <c r="B38" s="486"/>
      <c r="C38" s="486"/>
      <c r="D38" s="200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83"/>
      <c r="B39" s="486"/>
      <c r="C39" s="486"/>
      <c r="D39" s="200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>
        <f>520*1.1765</f>
        <v>611.78000000000009</v>
      </c>
      <c r="M39" s="170">
        <f>600*1.1765</f>
        <v>705.90000000000009</v>
      </c>
      <c r="N39" s="146"/>
      <c r="O39" s="146">
        <v>0</v>
      </c>
      <c r="P39" s="16"/>
      <c r="Q39" s="9">
        <v>0</v>
      </c>
      <c r="R39" s="156">
        <f t="shared" si="8"/>
        <v>2964.78</v>
      </c>
    </row>
    <row r="40" spans="1:21">
      <c r="A40" s="483"/>
      <c r="B40" s="487"/>
      <c r="C40" s="486"/>
      <c r="D40" s="200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46">
        <f>5000*1.1</f>
        <v>5500</v>
      </c>
      <c r="N40" s="9"/>
      <c r="O40" s="16"/>
      <c r="P40" s="16"/>
      <c r="Q40" s="9">
        <v>0</v>
      </c>
      <c r="R40" s="156">
        <f>SUM(F40:Q40)</f>
        <v>5852.95</v>
      </c>
    </row>
    <row r="41" spans="1:21">
      <c r="A41" s="483"/>
      <c r="B41" s="485" t="s">
        <v>13</v>
      </c>
      <c r="C41" s="486"/>
      <c r="D41" s="200" t="s">
        <v>12</v>
      </c>
      <c r="E41" s="14" t="s">
        <v>11</v>
      </c>
      <c r="F41" s="9">
        <v>0</v>
      </c>
      <c r="G41" s="146"/>
      <c r="H41" s="146"/>
      <c r="I41" s="146"/>
      <c r="J41" s="157"/>
      <c r="K41" s="146"/>
      <c r="L41" s="146">
        <v>0</v>
      </c>
      <c r="M41" s="146"/>
      <c r="N41" s="146"/>
      <c r="O41" s="146">
        <f>30+50</f>
        <v>80</v>
      </c>
      <c r="P41" s="16"/>
      <c r="Q41" s="9">
        <v>0</v>
      </c>
      <c r="R41" s="156">
        <f t="shared" si="8"/>
        <v>80</v>
      </c>
    </row>
    <row r="42" spans="1:21">
      <c r="A42" s="483"/>
      <c r="B42" s="487"/>
      <c r="C42" s="486"/>
      <c r="D42" s="200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>
      <c r="A43" s="483"/>
      <c r="B43" s="485" t="s">
        <v>8</v>
      </c>
      <c r="C43" s="486"/>
      <c r="D43" s="13" t="s">
        <v>7</v>
      </c>
      <c r="E43" s="200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/>
      <c r="Q43" s="9">
        <v>0</v>
      </c>
      <c r="R43" s="156">
        <f t="shared" si="8"/>
        <v>0</v>
      </c>
      <c r="T43" s="2"/>
    </row>
    <row r="44" spans="1:21">
      <c r="A44" s="483"/>
      <c r="B44" s="486"/>
      <c r="C44" s="486"/>
      <c r="D44" s="488" t="s">
        <v>5</v>
      </c>
      <c r="E44" s="200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46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  <c r="S44" s="4">
        <v>2400000</v>
      </c>
    </row>
    <row r="45" spans="1:21">
      <c r="A45" s="483"/>
      <c r="B45" s="486"/>
      <c r="C45" s="486"/>
      <c r="D45" s="489"/>
      <c r="E45" s="200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>
      <c r="A46" s="484"/>
      <c r="B46" s="487"/>
      <c r="C46" s="487"/>
      <c r="D46" s="490"/>
      <c r="E46" s="200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S46" s="18"/>
    </row>
    <row r="47" spans="1:21">
      <c r="A47" s="491" t="s">
        <v>133</v>
      </c>
      <c r="B47" s="491"/>
      <c r="C47" s="491"/>
      <c r="D47" s="491"/>
      <c r="E47" s="491"/>
      <c r="F47" s="8">
        <f>SUM(F32:F43)</f>
        <v>0</v>
      </c>
      <c r="G47" s="8">
        <f t="shared" ref="G47:Q47" si="11">SUM(G32:G46)</f>
        <v>17640.900000000001</v>
      </c>
      <c r="H47" s="8">
        <f>SUM(H32:H46)</f>
        <v>152108.35</v>
      </c>
      <c r="I47" s="8">
        <f t="shared" si="11"/>
        <v>5294.2500000000009</v>
      </c>
      <c r="J47" s="8">
        <f t="shared" si="11"/>
        <v>11677.349999999999</v>
      </c>
      <c r="K47" s="8">
        <f t="shared" si="11"/>
        <v>3764.8</v>
      </c>
      <c r="L47" s="8">
        <f>SUM(L32:L46)</f>
        <v>7741.7800000000007</v>
      </c>
      <c r="M47" s="8">
        <f t="shared" si="11"/>
        <v>11032.45</v>
      </c>
      <c r="N47" s="23">
        <f t="shared" si="11"/>
        <v>3176.55</v>
      </c>
      <c r="O47" s="8">
        <f t="shared" si="11"/>
        <v>3256.55</v>
      </c>
      <c r="P47" s="8">
        <f t="shared" si="11"/>
        <v>5576.55</v>
      </c>
      <c r="Q47" s="8">
        <f t="shared" si="11"/>
        <v>55730.807000000008</v>
      </c>
      <c r="R47" s="7">
        <f>SUM(R32:R46)</f>
        <v>277000.337</v>
      </c>
      <c r="T47" s="2"/>
      <c r="U47" s="2"/>
    </row>
    <row r="48" spans="1:21">
      <c r="A48" s="492" t="s">
        <v>28</v>
      </c>
      <c r="B48" s="492"/>
      <c r="C48" s="492"/>
      <c r="D48" s="492"/>
      <c r="E48" s="492"/>
      <c r="F48" s="22">
        <f>SUM(F31,F47)</f>
        <v>0</v>
      </c>
      <c r="G48" s="22">
        <f t="shared" ref="G48:O48" si="12">G31+G47</f>
        <v>17640.900000000001</v>
      </c>
      <c r="H48" s="22">
        <f t="shared" si="12"/>
        <v>300152108.35000002</v>
      </c>
      <c r="I48" s="22">
        <f t="shared" si="12"/>
        <v>340217736.25</v>
      </c>
      <c r="J48" s="22">
        <f t="shared" si="12"/>
        <v>616677.35</v>
      </c>
      <c r="K48" s="22">
        <f t="shared" si="12"/>
        <v>148264.79999999999</v>
      </c>
      <c r="L48" s="22">
        <f t="shared" si="12"/>
        <v>102211.78</v>
      </c>
      <c r="M48" s="22">
        <f t="shared" si="12"/>
        <v>183030.45</v>
      </c>
      <c r="N48" s="22">
        <f t="shared" si="12"/>
        <v>171626.55</v>
      </c>
      <c r="O48" s="22">
        <f t="shared" si="12"/>
        <v>83926.55</v>
      </c>
      <c r="P48" s="22">
        <f>SUM(P31,P47)</f>
        <v>11046.55</v>
      </c>
      <c r="Q48" s="22">
        <f>SUM(Q31,Q47)</f>
        <v>55730.807000000008</v>
      </c>
      <c r="R48" s="22">
        <f>R31+R47</f>
        <v>641760000.33700001</v>
      </c>
      <c r="U48" s="221"/>
    </row>
    <row r="49" spans="1:18">
      <c r="A49" s="493" t="s">
        <v>132</v>
      </c>
      <c r="B49" s="493"/>
      <c r="C49" s="493"/>
      <c r="D49" s="493"/>
      <c r="E49" s="493"/>
      <c r="F49" s="21">
        <f>F31+F47</f>
        <v>0</v>
      </c>
      <c r="G49" s="21">
        <f>G31+G47</f>
        <v>17640.900000000001</v>
      </c>
      <c r="H49" s="21">
        <f t="shared" ref="H49:Q49" si="13">SUM(H48:H48)</f>
        <v>300152108.35000002</v>
      </c>
      <c r="I49" s="21">
        <f t="shared" si="13"/>
        <v>340217736.25</v>
      </c>
      <c r="J49" s="21">
        <f t="shared" si="13"/>
        <v>616677.35</v>
      </c>
      <c r="K49" s="21">
        <f t="shared" si="13"/>
        <v>148264.79999999999</v>
      </c>
      <c r="L49" s="21">
        <f t="shared" si="13"/>
        <v>102211.78</v>
      </c>
      <c r="M49" s="21">
        <f t="shared" si="13"/>
        <v>183030.45</v>
      </c>
      <c r="N49" s="21">
        <f t="shared" si="13"/>
        <v>171626.55</v>
      </c>
      <c r="O49" s="21">
        <f t="shared" si="13"/>
        <v>83926.55</v>
      </c>
      <c r="P49" s="21">
        <f t="shared" si="13"/>
        <v>11046.55</v>
      </c>
      <c r="Q49" s="21">
        <f t="shared" si="13"/>
        <v>55730.807000000008</v>
      </c>
      <c r="R49" s="21">
        <f>R31+R47</f>
        <v>641760000.33700001</v>
      </c>
    </row>
    <row r="50" spans="1:18" ht="69" customHeight="1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82" t="s">
        <v>17</v>
      </c>
      <c r="B53" s="485" t="s">
        <v>24</v>
      </c>
      <c r="C53" s="488" t="s">
        <v>17</v>
      </c>
      <c r="D53" s="200" t="s">
        <v>23</v>
      </c>
      <c r="E53" s="200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83"/>
      <c r="B54" s="487"/>
      <c r="C54" s="489"/>
      <c r="D54" s="200" t="s">
        <v>17</v>
      </c>
      <c r="E54" s="200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>
        <v>2000</v>
      </c>
      <c r="M54" s="10">
        <v>1500</v>
      </c>
      <c r="N54" s="9"/>
      <c r="O54" s="9"/>
      <c r="P54" s="9"/>
      <c r="Q54" s="9"/>
      <c r="R54" s="156">
        <f>SUM(F54:Q54)</f>
        <v>142600</v>
      </c>
    </row>
    <row r="55" spans="1:18" ht="17.399999999999999" customHeight="1">
      <c r="A55" s="483"/>
      <c r="B55" s="500" t="s">
        <v>21</v>
      </c>
      <c r="C55" s="486"/>
      <c r="D55" s="48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4">SUM(F55:Q55)</f>
        <v>0</v>
      </c>
    </row>
    <row r="56" spans="1:18">
      <c r="A56" s="483"/>
      <c r="B56" s="500"/>
      <c r="C56" s="486"/>
      <c r="D56" s="486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44738</v>
      </c>
      <c r="R56" s="156">
        <f t="shared" si="14"/>
        <v>44738</v>
      </c>
    </row>
    <row r="57" spans="1:18">
      <c r="A57" s="483"/>
      <c r="B57" s="500"/>
      <c r="C57" s="486"/>
      <c r="D57" s="487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/>
      <c r="M57" s="146">
        <v>2700</v>
      </c>
      <c r="N57" s="146">
        <v>2700</v>
      </c>
      <c r="O57" s="146">
        <v>2700</v>
      </c>
      <c r="P57" s="146">
        <v>2700</v>
      </c>
      <c r="Q57" s="146">
        <v>2700</v>
      </c>
      <c r="R57" s="156">
        <f t="shared" si="14"/>
        <v>24600</v>
      </c>
    </row>
    <row r="58" spans="1:18" hidden="1">
      <c r="A58" s="483"/>
      <c r="B58" s="500"/>
      <c r="C58" s="486"/>
      <c r="D58" s="200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4"/>
        <v>0</v>
      </c>
    </row>
    <row r="59" spans="1:18">
      <c r="A59" s="483"/>
      <c r="B59" s="500"/>
      <c r="C59" s="486"/>
      <c r="D59" s="200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520</v>
      </c>
      <c r="M59" s="146">
        <v>600</v>
      </c>
      <c r="N59" s="146"/>
      <c r="O59" s="146"/>
      <c r="P59" s="9"/>
      <c r="Q59" s="9"/>
      <c r="R59" s="156">
        <f t="shared" si="14"/>
        <v>2520</v>
      </c>
    </row>
    <row r="60" spans="1:18">
      <c r="A60" s="483"/>
      <c r="B60" s="500"/>
      <c r="C60" s="486"/>
      <c r="D60" s="200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>
        <v>5000</v>
      </c>
      <c r="N60" s="146"/>
      <c r="O60" s="146"/>
      <c r="P60" s="9"/>
      <c r="Q60" s="9">
        <v>0</v>
      </c>
      <c r="R60" s="156">
        <f t="shared" si="14"/>
        <v>5300</v>
      </c>
    </row>
    <row r="61" spans="1:18">
      <c r="A61" s="483"/>
      <c r="B61" s="485" t="s">
        <v>13</v>
      </c>
      <c r="C61" s="486"/>
      <c r="D61" s="200" t="s">
        <v>12</v>
      </c>
      <c r="E61" s="14" t="s">
        <v>11</v>
      </c>
      <c r="F61" s="9">
        <v>0</v>
      </c>
      <c r="G61" s="146">
        <v>0</v>
      </c>
      <c r="H61" s="146"/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4"/>
        <v>0</v>
      </c>
    </row>
    <row r="62" spans="1:18">
      <c r="A62" s="483"/>
      <c r="B62" s="487"/>
      <c r="C62" s="486"/>
      <c r="D62" s="200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1880</v>
      </c>
      <c r="M62" s="146"/>
      <c r="N62" s="146"/>
      <c r="O62" s="146"/>
      <c r="P62" s="9"/>
      <c r="Q62" s="9">
        <v>0</v>
      </c>
      <c r="R62" s="156">
        <f t="shared" si="14"/>
        <v>6450</v>
      </c>
    </row>
    <row r="63" spans="1:18">
      <c r="A63" s="483"/>
      <c r="B63" s="485" t="s">
        <v>8</v>
      </c>
      <c r="C63" s="486"/>
      <c r="D63" s="13" t="s">
        <v>7</v>
      </c>
      <c r="E63" s="200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>
        <v>0</v>
      </c>
      <c r="R63" s="156">
        <f t="shared" si="14"/>
        <v>0</v>
      </c>
    </row>
    <row r="64" spans="1:18">
      <c r="A64" s="483"/>
      <c r="B64" s="486"/>
      <c r="C64" s="486"/>
      <c r="D64" s="488" t="s">
        <v>5</v>
      </c>
      <c r="E64" s="200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3000</v>
      </c>
      <c r="M64" s="146"/>
      <c r="N64" s="10"/>
      <c r="O64" s="10"/>
      <c r="P64" s="146">
        <f>(60*40)</f>
        <v>2400</v>
      </c>
      <c r="Q64" s="9"/>
      <c r="R64" s="156">
        <f t="shared" si="14"/>
        <v>7375</v>
      </c>
    </row>
    <row r="65" spans="1:18">
      <c r="A65" s="483"/>
      <c r="B65" s="486"/>
      <c r="C65" s="486"/>
      <c r="D65" s="489"/>
      <c r="E65" s="200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50</v>
      </c>
      <c r="M65" s="10"/>
      <c r="N65" s="10"/>
      <c r="O65" s="9"/>
      <c r="P65" s="9"/>
      <c r="Q65" s="9">
        <v>0</v>
      </c>
      <c r="R65" s="155">
        <f t="shared" si="14"/>
        <v>110</v>
      </c>
    </row>
    <row r="66" spans="1:18">
      <c r="A66" s="483"/>
      <c r="B66" s="487"/>
      <c r="C66" s="487"/>
      <c r="D66" s="490"/>
      <c r="E66" s="200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4"/>
        <v>0</v>
      </c>
    </row>
    <row r="67" spans="1:18" ht="17.399999999999999" customHeight="1">
      <c r="A67" s="494" t="s">
        <v>134</v>
      </c>
      <c r="B67" s="495"/>
      <c r="C67" s="495"/>
      <c r="D67" s="495"/>
      <c r="E67" s="496"/>
      <c r="F67" s="8">
        <f t="shared" ref="F67:Q67" si="15">SUM(F53:F66)</f>
        <v>0</v>
      </c>
      <c r="G67" s="8">
        <f t="shared" si="15"/>
        <v>15300</v>
      </c>
      <c r="H67" s="8">
        <f t="shared" si="15"/>
        <v>130240</v>
      </c>
      <c r="I67" s="8">
        <f t="shared" si="15"/>
        <v>4500</v>
      </c>
      <c r="J67" s="8">
        <f t="shared" si="15"/>
        <v>9965</v>
      </c>
      <c r="K67" s="8">
        <f t="shared" si="15"/>
        <v>3200</v>
      </c>
      <c r="L67" s="8">
        <f>SUM(L53:L66)</f>
        <v>7450</v>
      </c>
      <c r="M67" s="8">
        <f t="shared" si="15"/>
        <v>9800</v>
      </c>
      <c r="N67" s="8">
        <f t="shared" si="15"/>
        <v>2700</v>
      </c>
      <c r="O67" s="8">
        <f>SUM(O53:O66)</f>
        <v>2700</v>
      </c>
      <c r="P67" s="8">
        <f t="shared" si="15"/>
        <v>5100</v>
      </c>
      <c r="Q67" s="8">
        <f t="shared" si="15"/>
        <v>47438</v>
      </c>
      <c r="R67" s="7">
        <f>SUM(R53:R66)</f>
        <v>238393</v>
      </c>
    </row>
    <row r="68" spans="1:18">
      <c r="A68" s="497" t="s">
        <v>1</v>
      </c>
      <c r="B68" s="498"/>
      <c r="C68" s="498"/>
      <c r="D68" s="498"/>
      <c r="E68" s="49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6">(SUM(K54:K59))*17.65%+K61*17.65%+K63*17.65%+K53*0.1</f>
        <v>564.79999999999995</v>
      </c>
      <c r="L68" s="219">
        <f>(SUM(L54:L55)*0.1)+(SUM(L59:L60)*0.1765)</f>
        <v>291.77999999999997</v>
      </c>
      <c r="M68" s="219">
        <f>(SUM(M54:M55)*0.1)+(SUM(M57:M59)*0.1765)+M60*0.1</f>
        <v>1232.4499999999998</v>
      </c>
      <c r="N68" s="5">
        <f t="shared" si="16"/>
        <v>476.54999999999995</v>
      </c>
      <c r="O68" s="5">
        <f>(SUM(O54:O59))*17.65%+O61*17.65%+O63*17.65%+O53*0.1</f>
        <v>476.54999999999995</v>
      </c>
      <c r="P68" s="5">
        <f t="shared" si="16"/>
        <v>476.54999999999995</v>
      </c>
      <c r="Q68" s="5">
        <f t="shared" ref="Q68" si="17">SUM(Q54:Q59)*17.65%+Q61*17.65%+Q63*17.65%</f>
        <v>8372.8069999999989</v>
      </c>
      <c r="R68" s="5">
        <f>SUM(F68:Q68)</f>
        <v>38607.036999999997</v>
      </c>
    </row>
    <row r="69" spans="1:18">
      <c r="A69" s="493" t="s">
        <v>133</v>
      </c>
      <c r="B69" s="493"/>
      <c r="C69" s="493"/>
      <c r="D69" s="493"/>
      <c r="E69" s="493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5294.25</v>
      </c>
      <c r="J69" s="6">
        <f>J67+J68-1</f>
        <v>11676.05</v>
      </c>
      <c r="K69" s="6">
        <f t="shared" ref="K69:Q69" si="18">K67+K68</f>
        <v>3764.8</v>
      </c>
      <c r="L69" s="6">
        <f>L67+L68</f>
        <v>7741.78</v>
      </c>
      <c r="M69" s="6">
        <f t="shared" si="18"/>
        <v>11032.45</v>
      </c>
      <c r="N69" s="6">
        <f t="shared" si="18"/>
        <v>3176.55</v>
      </c>
      <c r="O69" s="6">
        <f t="shared" si="18"/>
        <v>3176.55</v>
      </c>
      <c r="P69" s="6">
        <f t="shared" si="18"/>
        <v>5576.55</v>
      </c>
      <c r="Q69" s="6">
        <f t="shared" si="18"/>
        <v>55810.807000000001</v>
      </c>
      <c r="R69" s="6">
        <f>R67+R68</f>
        <v>277000.03700000001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7" spans="6:8">
      <c r="F87" s="44"/>
      <c r="G87" s="44"/>
      <c r="H87" s="44"/>
    </row>
    <row r="88" spans="6:8">
      <c r="F88" s="4"/>
      <c r="G88" s="4"/>
    </row>
    <row r="89" spans="6:8">
      <c r="F89" s="4"/>
      <c r="G89" s="4"/>
    </row>
    <row r="90" spans="6:8">
      <c r="F90" s="4"/>
      <c r="G90" s="4"/>
    </row>
    <row r="91" spans="6:8">
      <c r="F91" s="4"/>
      <c r="G91" s="4"/>
    </row>
  </sheetData>
  <mergeCells count="45"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8E0-DC38-4621-8234-7DD1BA2A2CBF}">
  <dimension ref="D7:J22"/>
  <sheetViews>
    <sheetView workbookViewId="0">
      <selection activeCell="F23" sqref="F23"/>
    </sheetView>
  </sheetViews>
  <sheetFormatPr defaultRowHeight="17.399999999999999"/>
  <cols>
    <col min="6" max="6" width="25.796875" customWidth="1"/>
    <col min="8" max="8" width="16.296875" customWidth="1"/>
    <col min="10" max="10" width="12.8984375" bestFit="1" customWidth="1"/>
  </cols>
  <sheetData>
    <row r="7" spans="4:10">
      <c r="F7" s="222">
        <v>5240000000</v>
      </c>
    </row>
    <row r="8" spans="4:10">
      <c r="I8" t="s">
        <v>8</v>
      </c>
      <c r="J8">
        <v>740000000</v>
      </c>
    </row>
    <row r="9" spans="4:10">
      <c r="I9" t="s">
        <v>24</v>
      </c>
      <c r="J9">
        <v>2475000000</v>
      </c>
    </row>
    <row r="10" spans="4:10">
      <c r="I10" t="s">
        <v>146</v>
      </c>
      <c r="J10" s="224">
        <v>885000000</v>
      </c>
    </row>
    <row r="11" spans="4:10">
      <c r="E11" s="223">
        <v>200000000</v>
      </c>
      <c r="F11" s="4">
        <v>40000000</v>
      </c>
      <c r="J11" s="224">
        <f>J10+J9+J8</f>
        <v>4100000000</v>
      </c>
    </row>
    <row r="12" spans="4:10">
      <c r="E12" s="223">
        <v>200000000</v>
      </c>
    </row>
    <row r="14" spans="4:10">
      <c r="D14" t="s">
        <v>92</v>
      </c>
      <c r="E14" t="s">
        <v>144</v>
      </c>
      <c r="F14" s="4">
        <v>2765000000</v>
      </c>
    </row>
    <row r="15" spans="4:10">
      <c r="E15" t="s">
        <v>145</v>
      </c>
      <c r="F15" s="2">
        <f>F16-F14</f>
        <v>1235000000</v>
      </c>
    </row>
    <row r="16" spans="4:10">
      <c r="F16" s="4">
        <v>4000000000</v>
      </c>
    </row>
    <row r="18" spans="6:8">
      <c r="H18" s="224">
        <v>1800000000</v>
      </c>
    </row>
    <row r="19" spans="6:8">
      <c r="H19" s="4">
        <v>20000000</v>
      </c>
    </row>
    <row r="21" spans="6:8">
      <c r="F21">
        <v>380</v>
      </c>
    </row>
    <row r="22" spans="6:8">
      <c r="F22">
        <f>F21/2</f>
        <v>190</v>
      </c>
    </row>
  </sheetData>
  <phoneticPr fontId="3" type="noConversion"/>
  <conditionalFormatting sqref="E11:E12">
    <cfRule type="expression" dxfId="0" priority="1">
      <formula>#REF!="단위: 천원"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6E7B-B950-4073-838F-8CC296E03D62}">
  <sheetPr>
    <pageSetUpPr fitToPage="1"/>
  </sheetPr>
  <dimension ref="A1:U92"/>
  <sheetViews>
    <sheetView zoomScale="70" zoomScaleNormal="70" workbookViewId="0">
      <selection sqref="A1:F1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11.796875" style="148" bestFit="1" customWidth="1"/>
    <col min="21" max="16384" width="8.796875" style="148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139</v>
      </c>
    </row>
    <row r="2" spans="1:18" ht="17.25" customHeight="1">
      <c r="A2" s="185"/>
      <c r="B2" s="185"/>
      <c r="C2" s="185"/>
      <c r="D2" s="185"/>
      <c r="E2" s="185"/>
      <c r="F2" s="185"/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186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69"/>
      <c r="B6" s="472"/>
      <c r="C6" s="472"/>
      <c r="D6" s="193" t="s">
        <v>58</v>
      </c>
      <c r="E6" s="193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46">
        <v>370000</v>
      </c>
      <c r="M6" s="146">
        <v>370000</v>
      </c>
      <c r="N6" s="9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370000</v>
      </c>
      <c r="M7" s="28">
        <f t="shared" si="1"/>
        <v>370000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2050000</v>
      </c>
    </row>
    <row r="8" spans="1:18">
      <c r="A8" s="469"/>
      <c r="B8" s="471" t="s">
        <v>21</v>
      </c>
      <c r="C8" s="477" t="s">
        <v>34</v>
      </c>
      <c r="D8" s="190" t="s">
        <v>115</v>
      </c>
      <c r="E8" s="193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69"/>
      <c r="B9" s="471"/>
      <c r="C9" s="477"/>
      <c r="D9" s="193" t="s">
        <v>116</v>
      </c>
      <c r="E9" s="193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69"/>
      <c r="B10" s="471"/>
      <c r="C10" s="477" t="s">
        <v>55</v>
      </c>
      <c r="D10" s="190" t="s">
        <v>50</v>
      </c>
      <c r="E10" s="193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193" t="s">
        <v>54</v>
      </c>
      <c r="E11" s="188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193" t="s">
        <v>54</v>
      </c>
      <c r="E12" s="188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191" t="s">
        <v>53</v>
      </c>
      <c r="E13" s="193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193" t="s">
        <v>52</v>
      </c>
      <c r="E14" s="193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69"/>
      <c r="B15" s="471"/>
      <c r="C15" s="473" t="s">
        <v>39</v>
      </c>
      <c r="D15" s="192" t="s">
        <v>50</v>
      </c>
      <c r="E15" s="193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69"/>
      <c r="B16" s="471"/>
      <c r="C16" s="471"/>
      <c r="D16" s="192" t="s">
        <v>50</v>
      </c>
      <c r="E16" s="193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192" t="s">
        <v>50</v>
      </c>
      <c r="E17" s="193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69"/>
      <c r="B18" s="471"/>
      <c r="C18" s="471"/>
      <c r="D18" s="192" t="s">
        <v>50</v>
      </c>
      <c r="E18" s="193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189" t="s">
        <v>14</v>
      </c>
      <c r="C20" s="189" t="s">
        <v>34</v>
      </c>
      <c r="D20" s="187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69"/>
      <c r="B22" s="478" t="s">
        <v>45</v>
      </c>
      <c r="C22" s="473" t="s">
        <v>34</v>
      </c>
      <c r="D22" s="473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69"/>
      <c r="B23" s="479"/>
      <c r="C23" s="471"/>
      <c r="D23" s="471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69"/>
      <c r="B24" s="479"/>
      <c r="C24" s="471"/>
      <c r="D24" s="471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69"/>
      <c r="B25" s="479"/>
      <c r="C25" s="472"/>
      <c r="D25" s="472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69"/>
      <c r="B26" s="479"/>
      <c r="C26" s="473" t="s">
        <v>39</v>
      </c>
      <c r="D26" s="473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69"/>
      <c r="B27" s="479"/>
      <c r="C27" s="472"/>
      <c r="D27" s="472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69"/>
      <c r="B28" s="474" t="s">
        <v>36</v>
      </c>
      <c r="C28" s="475"/>
      <c r="D28" s="475"/>
      <c r="E28" s="476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69"/>
      <c r="B29" s="189" t="s">
        <v>35</v>
      </c>
      <c r="C29" s="187" t="s">
        <v>34</v>
      </c>
      <c r="D29" s="187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0"/>
      <c r="B30" s="474" t="s">
        <v>31</v>
      </c>
      <c r="C30" s="475"/>
      <c r="D30" s="475"/>
      <c r="E30" s="476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81" t="s">
        <v>30</v>
      </c>
      <c r="B31" s="481"/>
      <c r="C31" s="481"/>
      <c r="D31" s="481"/>
      <c r="E31" s="481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146020</v>
      </c>
      <c r="L31" s="27">
        <f t="shared" si="7"/>
        <v>492518</v>
      </c>
      <c r="M31" s="27">
        <f t="shared" si="7"/>
        <v>480000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2723000</v>
      </c>
      <c r="T31" s="2"/>
      <c r="U31" s="2"/>
    </row>
    <row r="32" spans="1:21">
      <c r="A32" s="482" t="s">
        <v>17</v>
      </c>
      <c r="B32" s="485" t="s">
        <v>24</v>
      </c>
      <c r="C32" s="488" t="s">
        <v>17</v>
      </c>
      <c r="D32" s="485" t="s">
        <v>23</v>
      </c>
      <c r="E32" s="193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>
      <c r="A33" s="483"/>
      <c r="B33" s="486"/>
      <c r="C33" s="489"/>
      <c r="D33" s="487"/>
      <c r="E33" s="193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83"/>
      <c r="B34" s="487"/>
      <c r="C34" s="489"/>
      <c r="D34" s="192" t="s">
        <v>17</v>
      </c>
      <c r="E34" s="193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/>
      <c r="M34" s="9"/>
      <c r="N34" s="9"/>
      <c r="O34" s="9"/>
      <c r="P34" s="9"/>
      <c r="Q34" s="9"/>
      <c r="R34" s="156">
        <f t="shared" si="8"/>
        <v>163651.15</v>
      </c>
      <c r="U34" s="2"/>
    </row>
    <row r="35" spans="1:21" ht="17.399999999999999" customHeight="1">
      <c r="A35" s="483"/>
      <c r="B35" s="485" t="s">
        <v>21</v>
      </c>
      <c r="C35" s="486"/>
      <c r="D35" s="48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 t="shared" si="8"/>
        <v>0</v>
      </c>
    </row>
    <row r="36" spans="1:21">
      <c r="A36" s="483"/>
      <c r="B36" s="486"/>
      <c r="C36" s="486"/>
      <c r="D36" s="486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>
      <c r="A37" s="483"/>
      <c r="B37" s="486"/>
      <c r="C37" s="486"/>
      <c r="D37" s="487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46">
        <f>30000*1.1765</f>
        <v>35295</v>
      </c>
      <c r="P37" s="16"/>
      <c r="Q37" s="9">
        <v>0</v>
      </c>
      <c r="R37" s="156">
        <f t="shared" si="8"/>
        <v>57883.8</v>
      </c>
      <c r="T37" s="2"/>
    </row>
    <row r="38" spans="1:21" ht="17.399999999999999" hidden="1" customHeight="1">
      <c r="A38" s="483"/>
      <c r="B38" s="486"/>
      <c r="C38" s="486"/>
      <c r="D38" s="193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83"/>
      <c r="B39" s="486"/>
      <c r="C39" s="486"/>
      <c r="D39" s="193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>
      <c r="A40" s="483"/>
      <c r="B40" s="487"/>
      <c r="C40" s="486"/>
      <c r="D40" s="193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>
      <c r="A41" s="483"/>
      <c r="B41" s="485" t="s">
        <v>13</v>
      </c>
      <c r="C41" s="486"/>
      <c r="D41" s="193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46">
        <f>835*1.1765+10</f>
        <v>992.37750000000005</v>
      </c>
      <c r="P41" s="16"/>
      <c r="Q41" s="9">
        <v>0</v>
      </c>
      <c r="R41" s="156">
        <f t="shared" si="8"/>
        <v>2982.3775000000001</v>
      </c>
      <c r="T41" s="1"/>
    </row>
    <row r="42" spans="1:21">
      <c r="A42" s="483"/>
      <c r="B42" s="487"/>
      <c r="C42" s="486"/>
      <c r="D42" s="193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>
        <v>1500</v>
      </c>
      <c r="N42" s="146"/>
      <c r="O42" s="146">
        <v>0</v>
      </c>
      <c r="P42" s="146">
        <v>0</v>
      </c>
      <c r="Q42" s="9">
        <v>0</v>
      </c>
      <c r="R42" s="156">
        <f t="shared" si="8"/>
        <v>6070</v>
      </c>
    </row>
    <row r="43" spans="1:21">
      <c r="A43" s="483"/>
      <c r="B43" s="485" t="s">
        <v>8</v>
      </c>
      <c r="C43" s="486"/>
      <c r="D43" s="13" t="s">
        <v>7</v>
      </c>
      <c r="E43" s="193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>
      <c r="A44" s="483"/>
      <c r="B44" s="486"/>
      <c r="C44" s="486"/>
      <c r="D44" s="488" t="s">
        <v>5</v>
      </c>
      <c r="E44" s="193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7975.3</v>
      </c>
    </row>
    <row r="45" spans="1:21">
      <c r="A45" s="483"/>
      <c r="B45" s="486"/>
      <c r="C45" s="486"/>
      <c r="D45" s="489"/>
      <c r="E45" s="193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>
      <c r="A46" s="484"/>
      <c r="B46" s="487"/>
      <c r="C46" s="487"/>
      <c r="D46" s="490"/>
      <c r="E46" s="193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91" t="s">
        <v>133</v>
      </c>
      <c r="B47" s="491"/>
      <c r="C47" s="491"/>
      <c r="D47" s="491"/>
      <c r="E47" s="491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3206.55</v>
      </c>
      <c r="M47" s="8">
        <f t="shared" si="10"/>
        <v>8864.7999999999993</v>
      </c>
      <c r="N47" s="23">
        <f t="shared" si="10"/>
        <v>3176.55</v>
      </c>
      <c r="O47" s="8">
        <f t="shared" si="10"/>
        <v>36287.377500000002</v>
      </c>
      <c r="P47" s="8">
        <f t="shared" si="10"/>
        <v>32989</v>
      </c>
      <c r="Q47" s="8">
        <f t="shared" si="10"/>
        <v>0</v>
      </c>
      <c r="R47" s="7">
        <f t="shared" si="10"/>
        <v>276999.92750000005</v>
      </c>
      <c r="U47" s="2"/>
    </row>
    <row r="48" spans="1:21">
      <c r="A48" s="492" t="s">
        <v>28</v>
      </c>
      <c r="B48" s="492"/>
      <c r="C48" s="492"/>
      <c r="D48" s="492"/>
      <c r="E48" s="492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149784.79999999999</v>
      </c>
      <c r="L48" s="22">
        <f t="shared" si="11"/>
        <v>495724.55</v>
      </c>
      <c r="M48" s="22">
        <f t="shared" si="11"/>
        <v>488864.8</v>
      </c>
      <c r="N48" s="22">
        <f t="shared" si="11"/>
        <v>143176.54999999999</v>
      </c>
      <c r="O48" s="22">
        <f t="shared" si="11"/>
        <v>43307.377500000002</v>
      </c>
      <c r="P48" s="22">
        <f>SUM(P31,P47)</f>
        <v>32989</v>
      </c>
      <c r="Q48" s="22">
        <f>SUM(Q31,Q47)</f>
        <v>0</v>
      </c>
      <c r="R48" s="22">
        <f>R31+R47</f>
        <v>2999999.9275000002</v>
      </c>
      <c r="U48" s="2"/>
    </row>
    <row r="49" spans="1:18">
      <c r="A49" s="493" t="s">
        <v>132</v>
      </c>
      <c r="B49" s="493"/>
      <c r="C49" s="493"/>
      <c r="D49" s="493"/>
      <c r="E49" s="493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149784.79999999999</v>
      </c>
      <c r="L49" s="21">
        <f t="shared" si="12"/>
        <v>495724.55</v>
      </c>
      <c r="M49" s="21">
        <f t="shared" si="12"/>
        <v>488864.8</v>
      </c>
      <c r="N49" s="21">
        <f t="shared" si="12"/>
        <v>143176.54999999999</v>
      </c>
      <c r="O49" s="21">
        <f t="shared" si="12"/>
        <v>43307.377500000002</v>
      </c>
      <c r="P49" s="21">
        <f t="shared" si="12"/>
        <v>32989</v>
      </c>
      <c r="Q49" s="21">
        <f t="shared" si="12"/>
        <v>0</v>
      </c>
      <c r="R49" s="21">
        <f>R31+R47</f>
        <v>2999999.9275000002</v>
      </c>
    </row>
    <row r="50" spans="1:18" ht="69" customHeight="1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82" t="s">
        <v>17</v>
      </c>
      <c r="B53" s="485" t="s">
        <v>24</v>
      </c>
      <c r="C53" s="488" t="s">
        <v>17</v>
      </c>
      <c r="D53" s="193" t="s">
        <v>23</v>
      </c>
      <c r="E53" s="193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83"/>
      <c r="B54" s="487"/>
      <c r="C54" s="489"/>
      <c r="D54" s="193" t="s">
        <v>17</v>
      </c>
      <c r="E54" s="193" t="s">
        <v>117</v>
      </c>
      <c r="F54" s="9"/>
      <c r="G54" s="146">
        <v>10600</v>
      </c>
      <c r="H54" s="146">
        <v>120000</v>
      </c>
      <c r="I54" s="146">
        <v>1500</v>
      </c>
      <c r="J54" s="146">
        <v>7200</v>
      </c>
      <c r="K54" s="146"/>
      <c r="L54" s="146"/>
      <c r="M54" s="10"/>
      <c r="N54" s="9"/>
      <c r="O54" s="9"/>
      <c r="P54" s="9"/>
      <c r="Q54" s="9"/>
      <c r="R54" s="156">
        <f>SUM(F54:Q54)</f>
        <v>139300</v>
      </c>
    </row>
    <row r="55" spans="1:18" ht="17.399999999999999" customHeight="1">
      <c r="A55" s="483"/>
      <c r="B55" s="500" t="s">
        <v>21</v>
      </c>
      <c r="C55" s="486"/>
      <c r="D55" s="48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>
      <c r="A56" s="483"/>
      <c r="B56" s="500"/>
      <c r="C56" s="486"/>
      <c r="D56" s="486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>
      <c r="A57" s="483"/>
      <c r="B57" s="500"/>
      <c r="C57" s="486"/>
      <c r="D57" s="487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>
      <c r="A58" s="483"/>
      <c r="B58" s="500"/>
      <c r="C58" s="486"/>
      <c r="D58" s="193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83"/>
      <c r="B59" s="500"/>
      <c r="C59" s="486"/>
      <c r="D59" s="193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1900</v>
      </c>
    </row>
    <row r="60" spans="1:18">
      <c r="A60" s="483"/>
      <c r="B60" s="500"/>
      <c r="C60" s="486"/>
      <c r="D60" s="193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>
      <c r="A61" s="483"/>
      <c r="B61" s="485" t="s">
        <v>13</v>
      </c>
      <c r="C61" s="486"/>
      <c r="D61" s="193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>
        <v>835</v>
      </c>
      <c r="P61" s="9"/>
      <c r="Q61" s="9">
        <v>0</v>
      </c>
      <c r="R61" s="156">
        <f t="shared" si="13"/>
        <v>2825</v>
      </c>
    </row>
    <row r="62" spans="1:18">
      <c r="A62" s="483"/>
      <c r="B62" s="487"/>
      <c r="C62" s="486"/>
      <c r="D62" s="193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>
        <v>1500</v>
      </c>
      <c r="N62" s="146"/>
      <c r="O62" s="146"/>
      <c r="P62" s="9"/>
      <c r="Q62" s="9">
        <v>0</v>
      </c>
      <c r="R62" s="156">
        <f t="shared" si="13"/>
        <v>6070</v>
      </c>
    </row>
    <row r="63" spans="1:18">
      <c r="A63" s="483"/>
      <c r="B63" s="485" t="s">
        <v>8</v>
      </c>
      <c r="C63" s="486"/>
      <c r="D63" s="13" t="s">
        <v>7</v>
      </c>
      <c r="E63" s="193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83"/>
      <c r="B64" s="486"/>
      <c r="C64" s="486"/>
      <c r="D64" s="488" t="s">
        <v>5</v>
      </c>
      <c r="E64" s="193" t="s">
        <v>121</v>
      </c>
      <c r="F64" s="9">
        <v>0</v>
      </c>
      <c r="G64" s="9"/>
      <c r="H64" s="146">
        <v>1740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7740</v>
      </c>
    </row>
    <row r="65" spans="1:18">
      <c r="A65" s="483"/>
      <c r="B65" s="486"/>
      <c r="C65" s="486"/>
      <c r="D65" s="489"/>
      <c r="E65" s="193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>
      <c r="A66" s="483"/>
      <c r="B66" s="487"/>
      <c r="C66" s="487"/>
      <c r="D66" s="490"/>
      <c r="E66" s="193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94" t="s">
        <v>134</v>
      </c>
      <c r="B67" s="495"/>
      <c r="C67" s="495"/>
      <c r="D67" s="495"/>
      <c r="E67" s="496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9930</v>
      </c>
      <c r="K67" s="8">
        <f t="shared" si="14"/>
        <v>3200</v>
      </c>
      <c r="L67" s="8">
        <f t="shared" si="14"/>
        <v>2730</v>
      </c>
      <c r="M67" s="8">
        <f t="shared" si="14"/>
        <v>8300</v>
      </c>
      <c r="N67" s="8">
        <f t="shared" si="14"/>
        <v>2700</v>
      </c>
      <c r="O67" s="8">
        <f>SUM(O53:O66)</f>
        <v>30835</v>
      </c>
      <c r="P67" s="8">
        <f t="shared" si="14"/>
        <v>28400</v>
      </c>
      <c r="Q67" s="8">
        <f t="shared" si="14"/>
        <v>0</v>
      </c>
      <c r="R67" s="7">
        <f>SUM(R53:R66)</f>
        <v>238125</v>
      </c>
    </row>
    <row r="68" spans="1:18">
      <c r="A68" s="497" t="s">
        <v>1</v>
      </c>
      <c r="B68" s="498"/>
      <c r="C68" s="498"/>
      <c r="D68" s="498"/>
      <c r="E68" s="49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 t="shared" ref="J68:P68" si="15">(SUM(J54:J59))*17.65%+J61*17.65%+J63*17.65%+J53*0.1</f>
        <v>1747.35</v>
      </c>
      <c r="K68" s="5">
        <f t="shared" si="15"/>
        <v>564.79999999999995</v>
      </c>
      <c r="L68" s="5">
        <f t="shared" si="15"/>
        <v>476.54999999999995</v>
      </c>
      <c r="M68" s="5">
        <f t="shared" si="15"/>
        <v>564.79999999999995</v>
      </c>
      <c r="N68" s="5">
        <f t="shared" si="15"/>
        <v>476.54999999999995</v>
      </c>
      <c r="O68" s="5">
        <f t="shared" si="15"/>
        <v>5442.3774999999996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38864.927499999998</v>
      </c>
    </row>
    <row r="69" spans="1:18">
      <c r="A69" s="493" t="s">
        <v>133</v>
      </c>
      <c r="B69" s="493"/>
      <c r="C69" s="493"/>
      <c r="D69" s="493"/>
      <c r="E69" s="493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11676.35</v>
      </c>
      <c r="K69" s="6">
        <f t="shared" ref="K69:Q69" si="17">K67+K68</f>
        <v>3764.8</v>
      </c>
      <c r="L69" s="6">
        <f t="shared" si="17"/>
        <v>3206.55</v>
      </c>
      <c r="M69" s="6">
        <f t="shared" si="17"/>
        <v>8864.7999999999993</v>
      </c>
      <c r="N69" s="6">
        <f t="shared" si="17"/>
        <v>3176.55</v>
      </c>
      <c r="O69" s="6">
        <f t="shared" si="17"/>
        <v>36277.377500000002</v>
      </c>
      <c r="P69" s="6">
        <f t="shared" si="17"/>
        <v>32989</v>
      </c>
      <c r="Q69" s="6">
        <f t="shared" si="17"/>
        <v>0</v>
      </c>
      <c r="R69" s="6">
        <f>R67+R68+10</f>
        <v>276999.92749999999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8" spans="5:5">
      <c r="E88" s="148">
        <v>152</v>
      </c>
    </row>
    <row r="89" spans="5:5">
      <c r="E89" s="148">
        <v>140</v>
      </c>
    </row>
    <row r="91" spans="5:5">
      <c r="E91" s="148">
        <f>E88+E89</f>
        <v>292</v>
      </c>
    </row>
    <row r="92" spans="5:5">
      <c r="E92" s="148">
        <f>E91*17.65%</f>
        <v>51.537999999999997</v>
      </c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8A5-2948-45F8-8C2B-FB6179BB4739}">
  <sheetPr>
    <pageSetUpPr fitToPage="1"/>
  </sheetPr>
  <dimension ref="A1:U78"/>
  <sheetViews>
    <sheetView zoomScale="70" zoomScaleNormal="70" workbookViewId="0">
      <selection activeCell="N53" sqref="N53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9.5" style="148" bestFit="1" customWidth="1"/>
    <col min="21" max="16384" width="8.796875" style="148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138</v>
      </c>
    </row>
    <row r="2" spans="1:18" ht="17.25" customHeight="1">
      <c r="A2" s="163"/>
      <c r="B2" s="163"/>
      <c r="C2" s="163"/>
      <c r="D2" s="163"/>
      <c r="E2" s="163"/>
      <c r="F2" s="163"/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164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70">
        <v>75000</v>
      </c>
      <c r="M5" s="170">
        <v>75000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150000</v>
      </c>
    </row>
    <row r="6" spans="1:18">
      <c r="A6" s="469"/>
      <c r="B6" s="472"/>
      <c r="C6" s="472"/>
      <c r="D6" s="162" t="s">
        <v>58</v>
      </c>
      <c r="E6" s="162" t="s">
        <v>57</v>
      </c>
      <c r="F6" s="9">
        <v>0</v>
      </c>
      <c r="G6" s="9"/>
      <c r="H6" s="146">
        <v>300000</v>
      </c>
      <c r="I6" s="170">
        <v>340000</v>
      </c>
      <c r="J6" s="170">
        <v>340000</v>
      </c>
      <c r="K6" s="170">
        <v>70000</v>
      </c>
      <c r="L6" s="170">
        <v>370000</v>
      </c>
      <c r="M6" s="170">
        <v>370000</v>
      </c>
      <c r="N6" s="12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340000</v>
      </c>
      <c r="K7" s="28">
        <f t="shared" si="1"/>
        <v>70000</v>
      </c>
      <c r="L7" s="28">
        <f t="shared" si="1"/>
        <v>445000</v>
      </c>
      <c r="M7" s="28">
        <f t="shared" si="1"/>
        <v>445000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69"/>
      <c r="B8" s="471" t="s">
        <v>21</v>
      </c>
      <c r="C8" s="477" t="s">
        <v>34</v>
      </c>
      <c r="D8" s="159" t="s">
        <v>115</v>
      </c>
      <c r="E8" s="162"/>
      <c r="F8" s="9">
        <v>0</v>
      </c>
      <c r="G8" s="9"/>
      <c r="H8" s="170"/>
      <c r="I8" s="170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69"/>
      <c r="B9" s="471"/>
      <c r="C9" s="477"/>
      <c r="D9" s="162" t="s">
        <v>116</v>
      </c>
      <c r="E9" s="162"/>
      <c r="F9" s="9">
        <v>0</v>
      </c>
      <c r="G9" s="9"/>
      <c r="H9" s="12"/>
      <c r="I9" s="12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69"/>
      <c r="B10" s="471"/>
      <c r="C10" s="477" t="s">
        <v>55</v>
      </c>
      <c r="D10" s="159" t="s">
        <v>50</v>
      </c>
      <c r="E10" s="162"/>
      <c r="F10" s="9">
        <v>0</v>
      </c>
      <c r="G10" s="9"/>
      <c r="H10" s="184"/>
      <c r="I10" s="184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162" t="s">
        <v>54</v>
      </c>
      <c r="E11" s="166"/>
      <c r="F11" s="9">
        <v>0</v>
      </c>
      <c r="G11" s="35"/>
      <c r="H11" s="12"/>
      <c r="I11" s="12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162" t="s">
        <v>54</v>
      </c>
      <c r="E12" s="166"/>
      <c r="F12" s="9">
        <v>0</v>
      </c>
      <c r="G12" s="35"/>
      <c r="H12" s="12"/>
      <c r="I12" s="12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161" t="s">
        <v>53</v>
      </c>
      <c r="E13" s="162"/>
      <c r="F13" s="9">
        <v>0</v>
      </c>
      <c r="G13" s="9"/>
      <c r="H13" s="12"/>
      <c r="I13" s="12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162" t="s">
        <v>52</v>
      </c>
      <c r="E14" s="162"/>
      <c r="F14" s="9">
        <v>0</v>
      </c>
      <c r="G14" s="9"/>
      <c r="H14" s="12"/>
      <c r="I14" s="12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69"/>
      <c r="B15" s="471"/>
      <c r="C15" s="473" t="s">
        <v>39</v>
      </c>
      <c r="D15" s="160" t="s">
        <v>50</v>
      </c>
      <c r="E15" s="162"/>
      <c r="F15" s="9">
        <v>0</v>
      </c>
      <c r="G15" s="9"/>
      <c r="H15" s="12"/>
      <c r="I15" s="12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69"/>
      <c r="B16" s="471"/>
      <c r="C16" s="471"/>
      <c r="D16" s="160" t="s">
        <v>50</v>
      </c>
      <c r="E16" s="162"/>
      <c r="F16" s="9">
        <v>0</v>
      </c>
      <c r="G16" s="9"/>
      <c r="H16" s="12"/>
      <c r="I16" s="12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160" t="s">
        <v>50</v>
      </c>
      <c r="E17" s="162" t="s">
        <v>51</v>
      </c>
      <c r="F17" s="9">
        <v>0</v>
      </c>
      <c r="G17" s="9"/>
      <c r="H17" s="170"/>
      <c r="I17" s="170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69"/>
      <c r="B18" s="471"/>
      <c r="C18" s="471"/>
      <c r="D18" s="160" t="s">
        <v>50</v>
      </c>
      <c r="E18" s="162" t="s">
        <v>49</v>
      </c>
      <c r="F18" s="9">
        <v>0</v>
      </c>
      <c r="G18" s="9"/>
      <c r="H18" s="170"/>
      <c r="I18" s="170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167" t="s">
        <v>14</v>
      </c>
      <c r="C20" s="167" t="s">
        <v>34</v>
      </c>
      <c r="D20" s="165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69"/>
      <c r="B22" s="478" t="s">
        <v>45</v>
      </c>
      <c r="C22" s="473" t="s">
        <v>34</v>
      </c>
      <c r="D22" s="473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69"/>
      <c r="B23" s="479"/>
      <c r="C23" s="471"/>
      <c r="D23" s="471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69"/>
      <c r="B24" s="479"/>
      <c r="C24" s="471"/>
      <c r="D24" s="471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69"/>
      <c r="B25" s="479"/>
      <c r="C25" s="472"/>
      <c r="D25" s="472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>
      <c r="A26" s="469"/>
      <c r="B26" s="479"/>
      <c r="C26" s="473" t="s">
        <v>39</v>
      </c>
      <c r="D26" s="473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>
      <c r="A27" s="469"/>
      <c r="B27" s="479"/>
      <c r="C27" s="472"/>
      <c r="D27" s="472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>
      <c r="A28" s="469"/>
      <c r="B28" s="474" t="s">
        <v>36</v>
      </c>
      <c r="C28" s="475"/>
      <c r="D28" s="475"/>
      <c r="E28" s="476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>
      <c r="A29" s="469"/>
      <c r="B29" s="167" t="s">
        <v>35</v>
      </c>
      <c r="C29" s="165" t="s">
        <v>34</v>
      </c>
      <c r="D29" s="165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0"/>
      <c r="B30" s="474" t="s">
        <v>31</v>
      </c>
      <c r="C30" s="475"/>
      <c r="D30" s="475"/>
      <c r="E30" s="476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81" t="s">
        <v>30</v>
      </c>
      <c r="B31" s="481"/>
      <c r="C31" s="481"/>
      <c r="D31" s="481"/>
      <c r="E31" s="481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455000</v>
      </c>
      <c r="K31" s="27">
        <f t="shared" ref="K31:Q31" si="7">K7+K19+K28+K30</f>
        <v>77020</v>
      </c>
      <c r="L31" s="27">
        <f t="shared" si="7"/>
        <v>548518</v>
      </c>
      <c r="M31" s="27">
        <f t="shared" si="7"/>
        <v>555000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>
      <c r="A32" s="482" t="s">
        <v>17</v>
      </c>
      <c r="B32" s="485" t="s">
        <v>24</v>
      </c>
      <c r="C32" s="488" t="s">
        <v>17</v>
      </c>
      <c r="D32" s="485" t="s">
        <v>23</v>
      </c>
      <c r="E32" s="162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>
      <c r="A33" s="483"/>
      <c r="B33" s="486"/>
      <c r="C33" s="489"/>
      <c r="D33" s="487"/>
      <c r="E33" s="162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83"/>
      <c r="B34" s="487"/>
      <c r="C34" s="489"/>
      <c r="D34" s="160" t="s">
        <v>17</v>
      </c>
      <c r="E34" s="162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7200*1.1765</f>
        <v>8470.8000000000011</v>
      </c>
      <c r="J34" s="146"/>
      <c r="K34" s="146"/>
      <c r="L34" s="146"/>
      <c r="M34" s="9"/>
      <c r="N34" s="9"/>
      <c r="O34" s="9"/>
      <c r="P34" s="9"/>
      <c r="Q34" s="9"/>
      <c r="R34" s="156">
        <f t="shared" si="8"/>
        <v>162121.69999999998</v>
      </c>
      <c r="U34" s="2"/>
    </row>
    <row r="35" spans="1:21" ht="17.399999999999999" customHeight="1">
      <c r="A35" s="483"/>
      <c r="B35" s="485" t="s">
        <v>21</v>
      </c>
      <c r="C35" s="486"/>
      <c r="D35" s="485" t="s">
        <v>20</v>
      </c>
      <c r="E35" s="14" t="s">
        <v>118</v>
      </c>
      <c r="F35" s="9">
        <v>0</v>
      </c>
      <c r="G35" s="146"/>
      <c r="H35" s="146"/>
      <c r="I35" s="146"/>
      <c r="J35" s="146">
        <f>1000*1.1765</f>
        <v>1176.5</v>
      </c>
      <c r="K35" s="146"/>
      <c r="L35" s="146"/>
      <c r="M35" s="146"/>
      <c r="N35" s="146">
        <f>1000*1.1765</f>
        <v>1176.5</v>
      </c>
      <c r="O35" s="9"/>
      <c r="P35" s="9"/>
      <c r="Q35" s="9"/>
      <c r="R35" s="156">
        <f t="shared" si="8"/>
        <v>2353</v>
      </c>
    </row>
    <row r="36" spans="1:21">
      <c r="A36" s="483"/>
      <c r="B36" s="486"/>
      <c r="C36" s="486"/>
      <c r="D36" s="486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f>100000*1.1765</f>
        <v>117650.00000000001</v>
      </c>
      <c r="M36" s="146"/>
      <c r="N36" s="146"/>
      <c r="O36" s="16"/>
      <c r="P36" s="9"/>
      <c r="Q36" s="9">
        <v>0</v>
      </c>
      <c r="R36" s="156">
        <f t="shared" si="8"/>
        <v>117650.00000000001</v>
      </c>
      <c r="T36" s="2"/>
    </row>
    <row r="37" spans="1:21">
      <c r="A37" s="483"/>
      <c r="B37" s="486"/>
      <c r="C37" s="486"/>
      <c r="D37" s="487"/>
      <c r="E37" s="14" t="s">
        <v>120</v>
      </c>
      <c r="F37" s="9"/>
      <c r="G37" s="146"/>
      <c r="H37" s="146">
        <f>2700*1.1765</f>
        <v>3176.55</v>
      </c>
      <c r="I37" s="146">
        <f t="shared" ref="I37:M37" si="9">2700*1.1765</f>
        <v>3176.55</v>
      </c>
      <c r="J37" s="146">
        <f t="shared" si="9"/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6"/>
      <c r="P37" s="16"/>
      <c r="Q37" s="9">
        <v>0</v>
      </c>
      <c r="R37" s="156">
        <f t="shared" si="8"/>
        <v>22235.85</v>
      </c>
      <c r="T37" s="2"/>
    </row>
    <row r="38" spans="1:21" ht="17.399999999999999" hidden="1" customHeight="1">
      <c r="A38" s="483"/>
      <c r="B38" s="486"/>
      <c r="C38" s="486"/>
      <c r="D38" s="162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83"/>
      <c r="B39" s="486"/>
      <c r="C39" s="486"/>
      <c r="D39" s="162" t="s">
        <v>12</v>
      </c>
      <c r="E39" s="14" t="s">
        <v>18</v>
      </c>
      <c r="F39" s="149">
        <v>0</v>
      </c>
      <c r="G39" s="146"/>
      <c r="H39" s="170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>
      <c r="A40" s="483"/>
      <c r="B40" s="487"/>
      <c r="C40" s="486"/>
      <c r="D40" s="162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>
      <c r="A41" s="483"/>
      <c r="B41" s="485" t="s">
        <v>13</v>
      </c>
      <c r="C41" s="486"/>
      <c r="D41" s="162" t="s">
        <v>12</v>
      </c>
      <c r="E41" s="14" t="s">
        <v>11</v>
      </c>
      <c r="F41" s="9">
        <v>0</v>
      </c>
      <c r="G41" s="146"/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2400*1.1765</f>
        <v>2823.6000000000004</v>
      </c>
      <c r="P41" s="16"/>
      <c r="Q41" s="9">
        <v>0</v>
      </c>
      <c r="R41" s="156">
        <f t="shared" si="8"/>
        <v>9882.6000000000022</v>
      </c>
      <c r="T41" s="1"/>
    </row>
    <row r="42" spans="1:21">
      <c r="A42" s="483"/>
      <c r="B42" s="487"/>
      <c r="C42" s="486"/>
      <c r="D42" s="162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4570</v>
      </c>
    </row>
    <row r="43" spans="1:21">
      <c r="A43" s="483"/>
      <c r="B43" s="485" t="s">
        <v>8</v>
      </c>
      <c r="C43" s="486"/>
      <c r="D43" s="13" t="s">
        <v>7</v>
      </c>
      <c r="E43" s="162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>
      <c r="A44" s="483"/>
      <c r="B44" s="486"/>
      <c r="C44" s="486"/>
      <c r="D44" s="488" t="s">
        <v>5</v>
      </c>
      <c r="E44" s="162" t="s">
        <v>125</v>
      </c>
      <c r="F44" s="9">
        <v>0</v>
      </c>
      <c r="G44" s="9"/>
      <c r="H44" s="170">
        <f>(60*29)</f>
        <v>1740</v>
      </c>
      <c r="I44" s="146"/>
      <c r="J44" s="146"/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7740</v>
      </c>
    </row>
    <row r="45" spans="1:21">
      <c r="A45" s="483"/>
      <c r="B45" s="486"/>
      <c r="C45" s="486"/>
      <c r="D45" s="489"/>
      <c r="E45" s="162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>
      <c r="A46" s="484"/>
      <c r="B46" s="487"/>
      <c r="C46" s="487"/>
      <c r="D46" s="490"/>
      <c r="E46" s="162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91" t="s">
        <v>133</v>
      </c>
      <c r="B47" s="491"/>
      <c r="C47" s="491"/>
      <c r="D47" s="491"/>
      <c r="E47" s="491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15176.850000000002</v>
      </c>
      <c r="J47" s="8">
        <f t="shared" si="10"/>
        <v>4383.05</v>
      </c>
      <c r="K47" s="8">
        <f t="shared" si="10"/>
        <v>3764.8</v>
      </c>
      <c r="L47" s="8">
        <f t="shared" si="10"/>
        <v>124386.05000000002</v>
      </c>
      <c r="M47" s="8">
        <f t="shared" si="10"/>
        <v>7364.8</v>
      </c>
      <c r="N47" s="23">
        <f t="shared" si="10"/>
        <v>4353.05</v>
      </c>
      <c r="O47" s="8">
        <f t="shared" si="10"/>
        <v>2823.6000000000004</v>
      </c>
      <c r="P47" s="8">
        <f t="shared" si="10"/>
        <v>32989</v>
      </c>
      <c r="Q47" s="8">
        <f t="shared" si="10"/>
        <v>0</v>
      </c>
      <c r="R47" s="7">
        <f t="shared" si="10"/>
        <v>364990.44999999995</v>
      </c>
      <c r="U47" s="2"/>
    </row>
    <row r="48" spans="1:21">
      <c r="A48" s="492" t="s">
        <v>28</v>
      </c>
      <c r="B48" s="492"/>
      <c r="C48" s="492"/>
      <c r="D48" s="492"/>
      <c r="E48" s="492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567618.85</v>
      </c>
      <c r="J48" s="22">
        <f t="shared" si="11"/>
        <v>459383.05</v>
      </c>
      <c r="K48" s="22">
        <f t="shared" si="11"/>
        <v>80784.800000000003</v>
      </c>
      <c r="L48" s="22">
        <f t="shared" si="11"/>
        <v>672904.05</v>
      </c>
      <c r="M48" s="22">
        <f t="shared" si="11"/>
        <v>562364.80000000005</v>
      </c>
      <c r="N48" s="22">
        <f t="shared" si="11"/>
        <v>144353.04999999999</v>
      </c>
      <c r="O48" s="22">
        <f t="shared" si="11"/>
        <v>9843.6</v>
      </c>
      <c r="P48" s="22">
        <f>SUM(P31,P47)</f>
        <v>32989</v>
      </c>
      <c r="Q48" s="22">
        <f>SUM(Q31,Q47)</f>
        <v>0</v>
      </c>
      <c r="R48" s="22">
        <f>R31+R47</f>
        <v>2999990.45</v>
      </c>
    </row>
    <row r="49" spans="1:18">
      <c r="A49" s="493" t="s">
        <v>132</v>
      </c>
      <c r="B49" s="493"/>
      <c r="C49" s="493"/>
      <c r="D49" s="493"/>
      <c r="E49" s="493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567618.85</v>
      </c>
      <c r="J49" s="21">
        <f t="shared" si="12"/>
        <v>459383.05</v>
      </c>
      <c r="K49" s="21">
        <f t="shared" si="12"/>
        <v>80784.800000000003</v>
      </c>
      <c r="L49" s="21">
        <f t="shared" si="12"/>
        <v>672904.05</v>
      </c>
      <c r="M49" s="21">
        <f t="shared" si="12"/>
        <v>562364.80000000005</v>
      </c>
      <c r="N49" s="21">
        <f t="shared" si="12"/>
        <v>144353.04999999999</v>
      </c>
      <c r="O49" s="21">
        <f t="shared" si="12"/>
        <v>9843.6</v>
      </c>
      <c r="P49" s="21">
        <f t="shared" si="12"/>
        <v>32989</v>
      </c>
      <c r="Q49" s="21">
        <f t="shared" si="12"/>
        <v>0</v>
      </c>
      <c r="R49" s="21">
        <f>R31+R47</f>
        <v>2999990.45</v>
      </c>
    </row>
    <row r="50" spans="1:18" ht="69" customHeight="1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82" t="s">
        <v>17</v>
      </c>
      <c r="B53" s="485" t="s">
        <v>24</v>
      </c>
      <c r="C53" s="488" t="s">
        <v>17</v>
      </c>
      <c r="D53" s="162" t="s">
        <v>23</v>
      </c>
      <c r="E53" s="162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83"/>
      <c r="B54" s="487"/>
      <c r="C54" s="489"/>
      <c r="D54" s="162" t="s">
        <v>17</v>
      </c>
      <c r="E54" s="162" t="s">
        <v>117</v>
      </c>
      <c r="F54" s="9"/>
      <c r="G54" s="146">
        <v>10600</v>
      </c>
      <c r="H54" s="146">
        <v>120000</v>
      </c>
      <c r="I54" s="146">
        <v>7200</v>
      </c>
      <c r="J54" s="146"/>
      <c r="K54" s="146"/>
      <c r="L54" s="146"/>
      <c r="M54" s="10"/>
      <c r="N54" s="9"/>
      <c r="O54" s="9"/>
      <c r="P54" s="9"/>
      <c r="Q54" s="9"/>
      <c r="R54" s="156">
        <f>SUM(F54:Q54)</f>
        <v>137800</v>
      </c>
    </row>
    <row r="55" spans="1:18" ht="17.399999999999999" customHeight="1">
      <c r="A55" s="483"/>
      <c r="B55" s="500" t="s">
        <v>21</v>
      </c>
      <c r="C55" s="486"/>
      <c r="D55" s="485" t="s">
        <v>20</v>
      </c>
      <c r="E55" s="14" t="s">
        <v>118</v>
      </c>
      <c r="F55" s="9"/>
      <c r="G55" s="146">
        <v>0</v>
      </c>
      <c r="H55" s="146"/>
      <c r="I55" s="146"/>
      <c r="J55" s="146">
        <v>1000</v>
      </c>
      <c r="K55" s="146"/>
      <c r="L55" s="146"/>
      <c r="M55" s="146"/>
      <c r="N55" s="146">
        <v>1000</v>
      </c>
      <c r="O55" s="9"/>
      <c r="P55" s="9"/>
      <c r="Q55" s="9"/>
      <c r="R55" s="156">
        <f t="shared" ref="R55:R66" si="13">SUM(F55:Q55)</f>
        <v>2000</v>
      </c>
    </row>
    <row r="56" spans="1:18">
      <c r="A56" s="483"/>
      <c r="B56" s="500"/>
      <c r="C56" s="486"/>
      <c r="D56" s="486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>
        <v>100000</v>
      </c>
      <c r="M56" s="146"/>
      <c r="N56" s="146"/>
      <c r="O56" s="9"/>
      <c r="P56" s="9"/>
      <c r="Q56" s="9">
        <v>0</v>
      </c>
      <c r="R56" s="156">
        <f t="shared" si="13"/>
        <v>100000</v>
      </c>
    </row>
    <row r="57" spans="1:18">
      <c r="A57" s="483"/>
      <c r="B57" s="500"/>
      <c r="C57" s="486"/>
      <c r="D57" s="487"/>
      <c r="E57" s="14" t="s">
        <v>120</v>
      </c>
      <c r="F57" s="9"/>
      <c r="G57" s="146">
        <v>0</v>
      </c>
      <c r="H57" s="146">
        <v>2700</v>
      </c>
      <c r="I57" s="146">
        <v>2700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/>
      <c r="P57" s="9"/>
      <c r="Q57" s="9"/>
      <c r="R57" s="156">
        <f t="shared" si="13"/>
        <v>18900</v>
      </c>
    </row>
    <row r="58" spans="1:18" hidden="1">
      <c r="A58" s="483"/>
      <c r="B58" s="500"/>
      <c r="C58" s="486"/>
      <c r="D58" s="162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83"/>
      <c r="B59" s="500"/>
      <c r="C59" s="486"/>
      <c r="D59" s="162" t="s">
        <v>12</v>
      </c>
      <c r="E59" s="14" t="s">
        <v>18</v>
      </c>
      <c r="F59" s="9">
        <v>0</v>
      </c>
      <c r="G59" s="146">
        <v>0</v>
      </c>
      <c r="H59" s="146">
        <v>500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1500</v>
      </c>
    </row>
    <row r="60" spans="1:18">
      <c r="A60" s="483"/>
      <c r="B60" s="500"/>
      <c r="C60" s="486"/>
      <c r="D60" s="162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>
      <c r="A61" s="483"/>
      <c r="B61" s="485" t="s">
        <v>13</v>
      </c>
      <c r="C61" s="486"/>
      <c r="D61" s="162" t="s">
        <v>12</v>
      </c>
      <c r="E61" s="14" t="s">
        <v>11</v>
      </c>
      <c r="F61" s="9">
        <v>0</v>
      </c>
      <c r="G61" s="146">
        <v>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2400</v>
      </c>
      <c r="P61" s="9"/>
      <c r="Q61" s="9">
        <v>0</v>
      </c>
      <c r="R61" s="156">
        <f t="shared" si="13"/>
        <v>8400</v>
      </c>
    </row>
    <row r="62" spans="1:18">
      <c r="A62" s="483"/>
      <c r="B62" s="487"/>
      <c r="C62" s="486"/>
      <c r="D62" s="162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3"/>
        <v>4570</v>
      </c>
    </row>
    <row r="63" spans="1:18">
      <c r="A63" s="483"/>
      <c r="B63" s="485" t="s">
        <v>8</v>
      </c>
      <c r="C63" s="486"/>
      <c r="D63" s="13" t="s">
        <v>7</v>
      </c>
      <c r="E63" s="162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83"/>
      <c r="B64" s="486"/>
      <c r="C64" s="486"/>
      <c r="D64" s="488" t="s">
        <v>5</v>
      </c>
      <c r="E64" s="162" t="s">
        <v>121</v>
      </c>
      <c r="F64" s="9">
        <v>0</v>
      </c>
      <c r="G64" s="9"/>
      <c r="H64" s="146">
        <f>(60*37)</f>
        <v>2220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8220</v>
      </c>
    </row>
    <row r="65" spans="1:18">
      <c r="A65" s="483"/>
      <c r="B65" s="486"/>
      <c r="C65" s="486"/>
      <c r="D65" s="489"/>
      <c r="E65" s="162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>
      <c r="A66" s="483"/>
      <c r="B66" s="487"/>
      <c r="C66" s="487"/>
      <c r="D66" s="490"/>
      <c r="E66" s="162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94" t="s">
        <v>134</v>
      </c>
      <c r="B67" s="495"/>
      <c r="C67" s="495"/>
      <c r="D67" s="495"/>
      <c r="E67" s="496"/>
      <c r="F67" s="8">
        <f t="shared" ref="F67:Q67" si="14">SUM(F53:F66)</f>
        <v>0</v>
      </c>
      <c r="G67" s="8">
        <f t="shared" si="14"/>
        <v>15300</v>
      </c>
      <c r="H67" s="8">
        <f t="shared" si="14"/>
        <v>130320</v>
      </c>
      <c r="I67" s="8">
        <f t="shared" si="14"/>
        <v>12900</v>
      </c>
      <c r="J67" s="8">
        <f t="shared" si="14"/>
        <v>3730</v>
      </c>
      <c r="K67" s="8">
        <f t="shared" si="14"/>
        <v>3200</v>
      </c>
      <c r="L67" s="8">
        <f t="shared" si="14"/>
        <v>105730</v>
      </c>
      <c r="M67" s="8">
        <f t="shared" si="14"/>
        <v>6800</v>
      </c>
      <c r="N67" s="8">
        <f t="shared" si="14"/>
        <v>3700</v>
      </c>
      <c r="O67" s="8">
        <f t="shared" si="14"/>
        <v>2400</v>
      </c>
      <c r="P67" s="8">
        <f t="shared" si="14"/>
        <v>28400</v>
      </c>
      <c r="Q67" s="8">
        <f t="shared" si="14"/>
        <v>0</v>
      </c>
      <c r="R67" s="7">
        <f>SUM(R53:R66)</f>
        <v>312480</v>
      </c>
    </row>
    <row r="68" spans="1:18">
      <c r="A68" s="497" t="s">
        <v>1</v>
      </c>
      <c r="B68" s="498"/>
      <c r="C68" s="498"/>
      <c r="D68" s="498"/>
      <c r="E68" s="49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21797.75</v>
      </c>
      <c r="I68" s="5">
        <f t="shared" ref="I68:P68" si="15">(SUM(I54:I59))*17.65%+I61*17.65%+I63*17.65%+I53*0.1</f>
        <v>2276.85</v>
      </c>
      <c r="J68" s="5">
        <f t="shared" si="15"/>
        <v>653.04999999999995</v>
      </c>
      <c r="K68" s="5">
        <f t="shared" si="15"/>
        <v>564.79999999999995</v>
      </c>
      <c r="L68" s="5">
        <f t="shared" si="15"/>
        <v>18656.05</v>
      </c>
      <c r="M68" s="5">
        <f t="shared" si="15"/>
        <v>564.79999999999995</v>
      </c>
      <c r="N68" s="5">
        <f t="shared" si="15"/>
        <v>653.04999999999995</v>
      </c>
      <c r="O68" s="5">
        <f t="shared" si="15"/>
        <v>423.59999999999997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52519.85</v>
      </c>
    </row>
    <row r="69" spans="1:18">
      <c r="A69" s="493" t="s">
        <v>133</v>
      </c>
      <c r="B69" s="493"/>
      <c r="C69" s="493"/>
      <c r="D69" s="493"/>
      <c r="E69" s="493"/>
      <c r="F69" s="6">
        <f>F67+F68</f>
        <v>0</v>
      </c>
      <c r="G69" s="6">
        <f>G67+G68</f>
        <v>17640.900000000001</v>
      </c>
      <c r="H69" s="6">
        <f>H67+H68</f>
        <v>152117.75</v>
      </c>
      <c r="I69" s="6">
        <f>I67+I68</f>
        <v>15176.85</v>
      </c>
      <c r="J69" s="6">
        <f>J67+J68-1</f>
        <v>4382.05</v>
      </c>
      <c r="K69" s="6">
        <f t="shared" ref="K69:Q69" si="17">K67+K68</f>
        <v>3764.8</v>
      </c>
      <c r="L69" s="6">
        <f t="shared" si="17"/>
        <v>124386.05</v>
      </c>
      <c r="M69" s="6">
        <f t="shared" si="17"/>
        <v>7364.8</v>
      </c>
      <c r="N69" s="6">
        <f t="shared" si="17"/>
        <v>4353.05</v>
      </c>
      <c r="O69" s="6">
        <f t="shared" si="17"/>
        <v>2823.6</v>
      </c>
      <c r="P69" s="6">
        <f t="shared" si="17"/>
        <v>32989</v>
      </c>
      <c r="Q69" s="6">
        <f t="shared" si="17"/>
        <v>0</v>
      </c>
      <c r="R69" s="6">
        <f>R67+R68</f>
        <v>364999.85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</sheetData>
  <mergeCells count="45"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F9AD-FC66-4895-8CC7-EE2CEE58C164}">
  <sheetPr>
    <pageSetUpPr fitToPage="1"/>
  </sheetPr>
  <dimension ref="A1:U78"/>
  <sheetViews>
    <sheetView zoomScale="70" zoomScaleNormal="70" workbookViewId="0">
      <selection activeCell="P35" sqref="P35"/>
    </sheetView>
  </sheetViews>
  <sheetFormatPr defaultRowHeight="17.399999999999999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131</v>
      </c>
    </row>
    <row r="2" spans="1:18" ht="17.25" customHeight="1">
      <c r="A2" s="45"/>
      <c r="B2" s="45"/>
      <c r="C2" s="45"/>
      <c r="D2" s="45"/>
      <c r="E2" s="45"/>
      <c r="F2" s="45"/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40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46">
        <v>200000</v>
      </c>
      <c r="M5" s="146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>
      <c r="A6" s="469"/>
      <c r="B6" s="472"/>
      <c r="C6" s="472"/>
      <c r="D6" s="11" t="s">
        <v>58</v>
      </c>
      <c r="E6" s="11" t="s">
        <v>57</v>
      </c>
      <c r="F6" s="9">
        <v>0</v>
      </c>
      <c r="G6" s="9"/>
      <c r="H6" s="146">
        <v>300000</v>
      </c>
      <c r="I6" s="146">
        <v>300000</v>
      </c>
      <c r="J6" s="146">
        <v>300000</v>
      </c>
      <c r="K6" s="146"/>
      <c r="L6" s="146">
        <v>300000</v>
      </c>
      <c r="M6" s="146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69"/>
      <c r="B8" s="471" t="s">
        <v>21</v>
      </c>
      <c r="C8" s="477" t="s">
        <v>34</v>
      </c>
      <c r="D8" s="37" t="s">
        <v>115</v>
      </c>
      <c r="E8" s="11"/>
      <c r="F8" s="9">
        <v>0</v>
      </c>
      <c r="G8" s="9"/>
      <c r="H8" s="146">
        <v>82980</v>
      </c>
      <c r="I8" s="146">
        <v>85422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69"/>
      <c r="B9" s="471"/>
      <c r="C9" s="477"/>
      <c r="D9" s="11" t="s">
        <v>116</v>
      </c>
      <c r="E9" s="11"/>
      <c r="F9" s="9">
        <v>0</v>
      </c>
      <c r="G9" s="9"/>
      <c r="H9" s="9">
        <v>15000</v>
      </c>
      <c r="I9" s="9">
        <v>15000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69"/>
      <c r="B10" s="471"/>
      <c r="C10" s="477" t="s">
        <v>55</v>
      </c>
      <c r="D10" s="37" t="s">
        <v>50</v>
      </c>
      <c r="E10" s="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11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11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15" t="s">
        <v>53</v>
      </c>
      <c r="E13" s="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11" t="s">
        <v>52</v>
      </c>
      <c r="E14" s="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69"/>
      <c r="B15" s="471"/>
      <c r="C15" s="473" t="s">
        <v>39</v>
      </c>
      <c r="D15" s="25" t="s">
        <v>50</v>
      </c>
      <c r="E15" s="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69"/>
      <c r="B16" s="471"/>
      <c r="C16" s="471"/>
      <c r="D16" s="25" t="s">
        <v>50</v>
      </c>
      <c r="E16" s="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25" t="s">
        <v>50</v>
      </c>
      <c r="E17" s="11" t="s">
        <v>51</v>
      </c>
      <c r="F17" s="9">
        <v>0</v>
      </c>
      <c r="G17" s="9"/>
      <c r="H17" s="146">
        <v>1030</v>
      </c>
      <c r="I17" s="146">
        <v>1030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69"/>
      <c r="B18" s="471"/>
      <c r="C18" s="471"/>
      <c r="D18" s="25" t="s">
        <v>50</v>
      </c>
      <c r="E18" s="11" t="s">
        <v>49</v>
      </c>
      <c r="F18" s="9">
        <v>0</v>
      </c>
      <c r="G18" s="9"/>
      <c r="H18" s="146">
        <v>5990</v>
      </c>
      <c r="I18" s="146">
        <v>5990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105000</v>
      </c>
      <c r="I19" s="28">
        <f t="shared" si="2"/>
        <v>107442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31" t="s">
        <v>14</v>
      </c>
      <c r="C20" s="31" t="s">
        <v>34</v>
      </c>
      <c r="D20" s="30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69"/>
      <c r="B22" s="478" t="s">
        <v>45</v>
      </c>
      <c r="C22" s="473" t="s">
        <v>34</v>
      </c>
      <c r="D22" s="473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69"/>
      <c r="B23" s="479"/>
      <c r="C23" s="471"/>
      <c r="D23" s="471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69"/>
      <c r="B24" s="479"/>
      <c r="C24" s="471"/>
      <c r="D24" s="471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69"/>
      <c r="B25" s="479"/>
      <c r="C25" s="472"/>
      <c r="D25" s="472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>
      <c r="A26" s="469"/>
      <c r="B26" s="479"/>
      <c r="C26" s="473" t="s">
        <v>39</v>
      </c>
      <c r="D26" s="473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>
      <c r="A27" s="469"/>
      <c r="B27" s="479"/>
      <c r="C27" s="472"/>
      <c r="D27" s="472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>
      <c r="A28" s="469"/>
      <c r="B28" s="474" t="s">
        <v>36</v>
      </c>
      <c r="C28" s="475"/>
      <c r="D28" s="475"/>
      <c r="E28" s="476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>
      <c r="A29" s="469"/>
      <c r="B29" s="31" t="s">
        <v>35</v>
      </c>
      <c r="C29" s="30" t="s">
        <v>34</v>
      </c>
      <c r="D29" s="30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0"/>
      <c r="B30" s="474" t="s">
        <v>31</v>
      </c>
      <c r="C30" s="475"/>
      <c r="D30" s="475"/>
      <c r="E30" s="476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81" t="s">
        <v>30</v>
      </c>
      <c r="B31" s="481"/>
      <c r="C31" s="481"/>
      <c r="D31" s="481"/>
      <c r="E31" s="481"/>
      <c r="F31" s="27">
        <f>F7+F19</f>
        <v>0</v>
      </c>
      <c r="G31" s="27">
        <f>G7+G19</f>
        <v>0</v>
      </c>
      <c r="H31" s="27">
        <f>H7+H19+H28+H30</f>
        <v>405000</v>
      </c>
      <c r="I31" s="27">
        <f>I7+I19+I21+I28+I30</f>
        <v>407442</v>
      </c>
      <c r="J31" s="27">
        <f>J7+J19+J21+J28+J30</f>
        <v>415000</v>
      </c>
      <c r="K31" s="27">
        <f t="shared" ref="K31:Q31" si="7">K7+K19+K28+K30</f>
        <v>7020</v>
      </c>
      <c r="L31" s="27">
        <f t="shared" si="7"/>
        <v>603518</v>
      </c>
      <c r="M31" s="27">
        <f t="shared" si="7"/>
        <v>710000</v>
      </c>
      <c r="N31" s="27">
        <f t="shared" si="7"/>
        <v>80000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>
      <c r="A32" s="482" t="s">
        <v>17</v>
      </c>
      <c r="B32" s="485" t="s">
        <v>24</v>
      </c>
      <c r="C32" s="488" t="s">
        <v>17</v>
      </c>
      <c r="D32" s="485" t="s">
        <v>23</v>
      </c>
      <c r="E32" s="11" t="s">
        <v>128</v>
      </c>
      <c r="F32" s="9">
        <v>0</v>
      </c>
      <c r="G32" s="9">
        <v>4200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4200</v>
      </c>
    </row>
    <row r="33" spans="1:21" hidden="1">
      <c r="A33" s="483"/>
      <c r="B33" s="486"/>
      <c r="C33" s="489"/>
      <c r="D33" s="487"/>
      <c r="E33" s="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83"/>
      <c r="B34" s="487"/>
      <c r="C34" s="489"/>
      <c r="D34" s="154" t="s">
        <v>17</v>
      </c>
      <c r="E34" s="11" t="s">
        <v>117</v>
      </c>
      <c r="F34" s="9">
        <v>0</v>
      </c>
      <c r="G34" s="146">
        <f>180000*1.1765</f>
        <v>211770.00000000003</v>
      </c>
      <c r="H34" s="146"/>
      <c r="I34" s="146"/>
      <c r="J34" s="146"/>
      <c r="K34" s="146">
        <f>8000*1.1765</f>
        <v>9412</v>
      </c>
      <c r="L34" s="9"/>
      <c r="M34" s="9"/>
      <c r="N34" s="9"/>
      <c r="O34" s="9"/>
      <c r="P34" s="9"/>
      <c r="Q34" s="9"/>
      <c r="R34" s="156">
        <f t="shared" si="8"/>
        <v>221182.00000000003</v>
      </c>
      <c r="U34" s="2"/>
    </row>
    <row r="35" spans="1:21" ht="17.399999999999999" customHeight="1">
      <c r="A35" s="483"/>
      <c r="B35" s="485" t="s">
        <v>21</v>
      </c>
      <c r="C35" s="486"/>
      <c r="D35" s="485" t="s">
        <v>20</v>
      </c>
      <c r="E35" s="14" t="s">
        <v>118</v>
      </c>
      <c r="F35" s="9">
        <v>0</v>
      </c>
      <c r="G35" s="146">
        <f>2500*1.1765</f>
        <v>2941.2500000000005</v>
      </c>
      <c r="H35" s="146"/>
      <c r="I35" s="146"/>
      <c r="J35" s="146">
        <f>2500*1.1765</f>
        <v>2941.2500000000005</v>
      </c>
      <c r="K35" s="146"/>
      <c r="L35" s="146"/>
      <c r="M35" s="146">
        <f>5000*1.1765</f>
        <v>5882.5000000000009</v>
      </c>
      <c r="N35" s="146"/>
      <c r="O35" s="9"/>
      <c r="P35" s="9"/>
      <c r="Q35" s="9"/>
      <c r="R35" s="156">
        <f t="shared" si="8"/>
        <v>11765.000000000002</v>
      </c>
    </row>
    <row r="36" spans="1:21">
      <c r="A36" s="483"/>
      <c r="B36" s="486"/>
      <c r="C36" s="486"/>
      <c r="D36" s="486"/>
      <c r="E36" s="14" t="s">
        <v>119</v>
      </c>
      <c r="F36" s="9">
        <v>0</v>
      </c>
      <c r="G36" s="146">
        <f>9000*1.1765</f>
        <v>10588.500000000002</v>
      </c>
      <c r="H36" s="146"/>
      <c r="I36" s="146"/>
      <c r="J36" s="146"/>
      <c r="K36" s="146"/>
      <c r="L36" s="146"/>
      <c r="M36" s="146">
        <f>10000*1.1765</f>
        <v>11765.000000000002</v>
      </c>
      <c r="N36" s="146">
        <f>11000*1.1765</f>
        <v>12941.500000000002</v>
      </c>
      <c r="O36" s="16"/>
      <c r="P36" s="9"/>
      <c r="Q36" s="9">
        <v>0</v>
      </c>
      <c r="R36" s="156">
        <f t="shared" si="8"/>
        <v>35295.000000000007</v>
      </c>
    </row>
    <row r="37" spans="1:21">
      <c r="A37" s="483"/>
      <c r="B37" s="486"/>
      <c r="C37" s="486"/>
      <c r="D37" s="487"/>
      <c r="E37" s="14" t="s">
        <v>120</v>
      </c>
      <c r="F37" s="9"/>
      <c r="G37" s="146">
        <f>5000*1.1765</f>
        <v>5882.5000000000009</v>
      </c>
      <c r="H37" s="146"/>
      <c r="I37" s="146"/>
      <c r="J37" s="146"/>
      <c r="K37" s="146"/>
      <c r="L37" s="146"/>
      <c r="M37" s="146">
        <f>5000*1.1765</f>
        <v>5882.5000000000009</v>
      </c>
      <c r="N37" s="146"/>
      <c r="O37" s="16"/>
      <c r="P37" s="16"/>
      <c r="Q37" s="9">
        <v>0</v>
      </c>
      <c r="R37" s="156">
        <f t="shared" si="8"/>
        <v>11765.000000000002</v>
      </c>
    </row>
    <row r="38" spans="1:21" ht="17.399999999999999" hidden="1" customHeight="1">
      <c r="A38" s="483"/>
      <c r="B38" s="486"/>
      <c r="C38" s="486"/>
      <c r="D38" s="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83"/>
      <c r="B39" s="486"/>
      <c r="C39" s="486"/>
      <c r="D39" s="11" t="s">
        <v>12</v>
      </c>
      <c r="E39" s="14" t="s">
        <v>18</v>
      </c>
      <c r="F39" s="149">
        <v>0</v>
      </c>
      <c r="G39" s="146">
        <f>5000*1.1765</f>
        <v>5882.5000000000009</v>
      </c>
      <c r="H39" s="146"/>
      <c r="I39" s="146"/>
      <c r="J39" s="146">
        <f>5000*1.1765</f>
        <v>5882.5000000000009</v>
      </c>
      <c r="K39" s="146"/>
      <c r="L39" s="146"/>
      <c r="M39" s="146">
        <f>5000*1.1765</f>
        <v>5882.5000000000009</v>
      </c>
      <c r="N39" s="146"/>
      <c r="O39" s="146">
        <v>0</v>
      </c>
      <c r="P39" s="16"/>
      <c r="Q39" s="9">
        <v>0</v>
      </c>
      <c r="R39" s="156">
        <f t="shared" si="8"/>
        <v>17647.500000000004</v>
      </c>
    </row>
    <row r="40" spans="1:21">
      <c r="A40" s="483"/>
      <c r="B40" s="487"/>
      <c r="C40" s="486"/>
      <c r="D40" s="11" t="s">
        <v>16</v>
      </c>
      <c r="E40" s="14" t="s">
        <v>129</v>
      </c>
      <c r="F40" s="9">
        <v>0</v>
      </c>
      <c r="G40" s="16"/>
      <c r="H40" s="9"/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0</v>
      </c>
      <c r="T40" s="1"/>
    </row>
    <row r="41" spans="1:21">
      <c r="A41" s="483"/>
      <c r="B41" s="485" t="s">
        <v>13</v>
      </c>
      <c r="C41" s="486"/>
      <c r="D41" s="11" t="s">
        <v>12</v>
      </c>
      <c r="E41" s="14" t="s">
        <v>11</v>
      </c>
      <c r="F41" s="9">
        <v>0</v>
      </c>
      <c r="G41" s="146">
        <f>3000*1.1765</f>
        <v>3529.5000000000005</v>
      </c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3000*1.1765</f>
        <v>3529.5000000000005</v>
      </c>
      <c r="P41" s="16"/>
      <c r="Q41" s="9">
        <v>0</v>
      </c>
      <c r="R41" s="156">
        <f t="shared" si="8"/>
        <v>14118.000000000002</v>
      </c>
      <c r="T41" s="1"/>
    </row>
    <row r="42" spans="1:21">
      <c r="A42" s="483"/>
      <c r="B42" s="487"/>
      <c r="C42" s="486"/>
      <c r="D42" s="11" t="s">
        <v>10</v>
      </c>
      <c r="E42" s="14" t="s">
        <v>130</v>
      </c>
      <c r="F42" s="9">
        <v>0</v>
      </c>
      <c r="G42" s="9"/>
      <c r="H42" s="146">
        <v>7000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7000</v>
      </c>
    </row>
    <row r="43" spans="1:21">
      <c r="A43" s="483"/>
      <c r="B43" s="485" t="s">
        <v>8</v>
      </c>
      <c r="C43" s="486"/>
      <c r="D43" s="13" t="s">
        <v>7</v>
      </c>
      <c r="E43" s="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148"/>
    </row>
    <row r="44" spans="1:21">
      <c r="A44" s="483"/>
      <c r="B44" s="486"/>
      <c r="C44" s="486"/>
      <c r="D44" s="488" t="s">
        <v>5</v>
      </c>
      <c r="E44" s="11" t="s">
        <v>125</v>
      </c>
      <c r="F44" s="9">
        <v>0</v>
      </c>
      <c r="G44" s="9"/>
      <c r="H44" s="146">
        <v>5000</v>
      </c>
      <c r="I44" s="146">
        <v>0</v>
      </c>
      <c r="J44" s="146"/>
      <c r="K44" s="158">
        <v>0</v>
      </c>
      <c r="L44" s="158">
        <v>0</v>
      </c>
      <c r="M44" s="158">
        <v>5000</v>
      </c>
      <c r="N44" s="158">
        <v>0</v>
      </c>
      <c r="O44" s="146">
        <v>0</v>
      </c>
      <c r="P44" s="146">
        <v>1438</v>
      </c>
      <c r="Q44" s="9"/>
      <c r="R44" s="156">
        <f t="shared" si="8"/>
        <v>11438</v>
      </c>
      <c r="T44" s="148"/>
    </row>
    <row r="45" spans="1:21">
      <c r="A45" s="483"/>
      <c r="B45" s="486"/>
      <c r="C45" s="486"/>
      <c r="D45" s="489"/>
      <c r="E45" s="11" t="s">
        <v>126</v>
      </c>
      <c r="F45" s="9">
        <v>0</v>
      </c>
      <c r="G45" s="9"/>
      <c r="H45" s="9"/>
      <c r="I45" s="9"/>
      <c r="J45" s="9"/>
      <c r="K45" s="10"/>
      <c r="L45" s="10"/>
      <c r="M45" s="10"/>
      <c r="N45" s="10"/>
      <c r="O45" s="9"/>
      <c r="P45" s="9"/>
      <c r="Q45" s="9">
        <v>0</v>
      </c>
      <c r="R45" s="155">
        <f t="shared" si="8"/>
        <v>0</v>
      </c>
      <c r="T45" s="148"/>
      <c r="U45" s="2"/>
    </row>
    <row r="46" spans="1:21">
      <c r="A46" s="484"/>
      <c r="B46" s="487"/>
      <c r="C46" s="487"/>
      <c r="D46" s="490"/>
      <c r="E46" s="11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T46" s="148"/>
    </row>
    <row r="47" spans="1:21">
      <c r="A47" s="491" t="s">
        <v>133</v>
      </c>
      <c r="B47" s="491"/>
      <c r="C47" s="491"/>
      <c r="D47" s="491"/>
      <c r="E47" s="491"/>
      <c r="F47" s="8">
        <f>SUM(F32:F43)</f>
        <v>0</v>
      </c>
      <c r="G47" s="8">
        <f t="shared" ref="G47:R47" si="9">SUM(G32:G46)</f>
        <v>244794.25000000003</v>
      </c>
      <c r="H47" s="8">
        <f t="shared" si="9"/>
        <v>12000</v>
      </c>
      <c r="I47" s="8">
        <f t="shared" si="9"/>
        <v>3529.5000000000005</v>
      </c>
      <c r="J47" s="8">
        <f t="shared" si="9"/>
        <v>8823.7500000000018</v>
      </c>
      <c r="K47" s="8">
        <f t="shared" si="9"/>
        <v>9412</v>
      </c>
      <c r="L47" s="8">
        <f t="shared" si="9"/>
        <v>3529.5000000000005</v>
      </c>
      <c r="M47" s="8">
        <f t="shared" si="9"/>
        <v>34412.5</v>
      </c>
      <c r="N47" s="23">
        <f t="shared" si="9"/>
        <v>12941.500000000002</v>
      </c>
      <c r="O47" s="8">
        <f t="shared" si="9"/>
        <v>3529.5000000000005</v>
      </c>
      <c r="P47" s="8">
        <f t="shared" si="9"/>
        <v>32027.000000000004</v>
      </c>
      <c r="Q47" s="8">
        <f t="shared" si="9"/>
        <v>0</v>
      </c>
      <c r="R47" s="7">
        <f t="shared" si="9"/>
        <v>364999.50000000006</v>
      </c>
      <c r="T47" s="148"/>
      <c r="U47" s="2"/>
    </row>
    <row r="48" spans="1:21">
      <c r="A48" s="492" t="s">
        <v>28</v>
      </c>
      <c r="B48" s="492"/>
      <c r="C48" s="492"/>
      <c r="D48" s="492"/>
      <c r="E48" s="492"/>
      <c r="F48" s="22">
        <f>SUM(F31,F47)</f>
        <v>0</v>
      </c>
      <c r="G48" s="22">
        <f t="shared" ref="G48:O48" si="10">G31+G47</f>
        <v>244794.25000000003</v>
      </c>
      <c r="H48" s="22">
        <f t="shared" si="10"/>
        <v>417000</v>
      </c>
      <c r="I48" s="22">
        <f t="shared" si="10"/>
        <v>410971.5</v>
      </c>
      <c r="J48" s="22">
        <f t="shared" si="10"/>
        <v>423823.75</v>
      </c>
      <c r="K48" s="22">
        <f t="shared" si="10"/>
        <v>16432</v>
      </c>
      <c r="L48" s="22">
        <f t="shared" si="10"/>
        <v>607047.5</v>
      </c>
      <c r="M48" s="22">
        <f t="shared" si="10"/>
        <v>744412.5</v>
      </c>
      <c r="N48" s="22">
        <f t="shared" si="10"/>
        <v>92941.5</v>
      </c>
      <c r="O48" s="22">
        <f t="shared" si="10"/>
        <v>10549.5</v>
      </c>
      <c r="P48" s="22">
        <f>SUM(P31,P47)</f>
        <v>32027.000000000004</v>
      </c>
      <c r="Q48" s="22">
        <f>SUM(Q31,Q47)</f>
        <v>0</v>
      </c>
      <c r="R48" s="22">
        <f>R31+R47</f>
        <v>2999999.5</v>
      </c>
    </row>
    <row r="49" spans="1:18">
      <c r="A49" s="493" t="s">
        <v>132</v>
      </c>
      <c r="B49" s="493"/>
      <c r="C49" s="493"/>
      <c r="D49" s="493"/>
      <c r="E49" s="493"/>
      <c r="F49" s="21">
        <f>F31+F47</f>
        <v>0</v>
      </c>
      <c r="G49" s="21">
        <f>G31+G47</f>
        <v>244794.25000000003</v>
      </c>
      <c r="H49" s="21">
        <f t="shared" ref="H49:Q49" si="11">SUM(H48:H48)</f>
        <v>417000</v>
      </c>
      <c r="I49" s="21">
        <f t="shared" si="11"/>
        <v>410971.5</v>
      </c>
      <c r="J49" s="21">
        <f t="shared" si="11"/>
        <v>423823.75</v>
      </c>
      <c r="K49" s="21">
        <f t="shared" si="11"/>
        <v>16432</v>
      </c>
      <c r="L49" s="21">
        <f t="shared" si="11"/>
        <v>607047.5</v>
      </c>
      <c r="M49" s="21">
        <f t="shared" si="11"/>
        <v>744412.5</v>
      </c>
      <c r="N49" s="21">
        <f t="shared" si="11"/>
        <v>92941.5</v>
      </c>
      <c r="O49" s="21">
        <f t="shared" si="11"/>
        <v>10549.5</v>
      </c>
      <c r="P49" s="21">
        <f t="shared" si="11"/>
        <v>32027.000000000004</v>
      </c>
      <c r="Q49" s="21">
        <f t="shared" si="11"/>
        <v>0</v>
      </c>
      <c r="R49" s="21">
        <f>R31+R47</f>
        <v>2999999.5</v>
      </c>
    </row>
    <row r="50" spans="1:18" ht="69" customHeight="1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82" t="s">
        <v>17</v>
      </c>
      <c r="B53" s="485" t="s">
        <v>24</v>
      </c>
      <c r="C53" s="488" t="s">
        <v>17</v>
      </c>
      <c r="D53" s="11" t="s">
        <v>23</v>
      </c>
      <c r="E53" s="11" t="s">
        <v>22</v>
      </c>
      <c r="F53" s="9">
        <v>0</v>
      </c>
      <c r="G53" s="10">
        <v>4200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4200</v>
      </c>
    </row>
    <row r="54" spans="1:18">
      <c r="A54" s="483"/>
      <c r="B54" s="487"/>
      <c r="C54" s="489"/>
      <c r="D54" s="11" t="s">
        <v>17</v>
      </c>
      <c r="E54" s="11" t="s">
        <v>117</v>
      </c>
      <c r="F54" s="9"/>
      <c r="G54" s="146">
        <f>180000</f>
        <v>180000</v>
      </c>
      <c r="H54" s="146"/>
      <c r="I54" s="146"/>
      <c r="J54" s="146"/>
      <c r="K54" s="146">
        <v>8000</v>
      </c>
      <c r="L54" s="146"/>
      <c r="M54" s="10"/>
      <c r="N54" s="9"/>
      <c r="O54" s="9"/>
      <c r="P54" s="9"/>
      <c r="Q54" s="9"/>
      <c r="R54" s="156">
        <f>SUM(F54:Q54)</f>
        <v>188000</v>
      </c>
    </row>
    <row r="55" spans="1:18" ht="17.399999999999999" customHeight="1">
      <c r="A55" s="483"/>
      <c r="B55" s="500" t="s">
        <v>21</v>
      </c>
      <c r="C55" s="486"/>
      <c r="D55" s="485" t="s">
        <v>20</v>
      </c>
      <c r="E55" s="14" t="s">
        <v>118</v>
      </c>
      <c r="F55" s="9"/>
      <c r="G55" s="146">
        <v>2500</v>
      </c>
      <c r="H55" s="146"/>
      <c r="I55" s="146"/>
      <c r="J55" s="146">
        <v>2500</v>
      </c>
      <c r="K55" s="146"/>
      <c r="L55" s="146"/>
      <c r="M55" s="146">
        <v>5000</v>
      </c>
      <c r="N55" s="146"/>
      <c r="O55" s="9"/>
      <c r="P55" s="9"/>
      <c r="Q55" s="9"/>
      <c r="R55" s="156">
        <f t="shared" ref="R55:R66" si="12">SUM(F55:Q55)</f>
        <v>10000</v>
      </c>
    </row>
    <row r="56" spans="1:18">
      <c r="A56" s="483"/>
      <c r="B56" s="500"/>
      <c r="C56" s="486"/>
      <c r="D56" s="486"/>
      <c r="E56" s="14" t="s">
        <v>119</v>
      </c>
      <c r="F56" s="9">
        <v>0</v>
      </c>
      <c r="G56" s="146">
        <v>9000</v>
      </c>
      <c r="H56" s="146"/>
      <c r="I56" s="146"/>
      <c r="J56" s="146"/>
      <c r="K56" s="146"/>
      <c r="L56" s="146"/>
      <c r="M56" s="146">
        <v>10000</v>
      </c>
      <c r="N56" s="146">
        <v>11000</v>
      </c>
      <c r="O56" s="9"/>
      <c r="P56" s="9"/>
      <c r="Q56" s="9">
        <v>0</v>
      </c>
      <c r="R56" s="156">
        <f t="shared" si="12"/>
        <v>30000</v>
      </c>
    </row>
    <row r="57" spans="1:18">
      <c r="A57" s="483"/>
      <c r="B57" s="500"/>
      <c r="C57" s="486"/>
      <c r="D57" s="487"/>
      <c r="E57" s="14" t="s">
        <v>120</v>
      </c>
      <c r="F57" s="9"/>
      <c r="G57" s="146">
        <v>5000</v>
      </c>
      <c r="H57" s="146"/>
      <c r="I57" s="146"/>
      <c r="J57" s="146"/>
      <c r="K57" s="146"/>
      <c r="L57" s="146"/>
      <c r="M57" s="146">
        <v>5000</v>
      </c>
      <c r="N57" s="146"/>
      <c r="O57" s="9"/>
      <c r="P57" s="9"/>
      <c r="Q57" s="9"/>
      <c r="R57" s="156">
        <f t="shared" si="12"/>
        <v>10000</v>
      </c>
    </row>
    <row r="58" spans="1:18" hidden="1">
      <c r="A58" s="483"/>
      <c r="B58" s="500"/>
      <c r="C58" s="486"/>
      <c r="D58" s="11" t="s">
        <v>12</v>
      </c>
      <c r="E58" s="14" t="s">
        <v>19</v>
      </c>
      <c r="F58" s="9"/>
      <c r="G58" s="9"/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2"/>
        <v>0</v>
      </c>
    </row>
    <row r="59" spans="1:18">
      <c r="A59" s="483"/>
      <c r="B59" s="500"/>
      <c r="C59" s="486"/>
      <c r="D59" s="11" t="s">
        <v>12</v>
      </c>
      <c r="E59" s="14" t="s">
        <v>18</v>
      </c>
      <c r="F59" s="9">
        <v>0</v>
      </c>
      <c r="G59" s="146">
        <v>5000</v>
      </c>
      <c r="H59" s="146"/>
      <c r="I59" s="146"/>
      <c r="J59" s="146">
        <v>5000</v>
      </c>
      <c r="K59" s="146"/>
      <c r="L59" s="146"/>
      <c r="M59" s="146">
        <v>5000</v>
      </c>
      <c r="N59" s="146"/>
      <c r="O59" s="146"/>
      <c r="P59" s="9"/>
      <c r="Q59" s="9"/>
      <c r="R59" s="156">
        <f t="shared" si="12"/>
        <v>15000</v>
      </c>
    </row>
    <row r="60" spans="1:18">
      <c r="A60" s="483"/>
      <c r="B60" s="500"/>
      <c r="C60" s="486"/>
      <c r="D60" s="11" t="s">
        <v>16</v>
      </c>
      <c r="E60" s="14" t="s">
        <v>15</v>
      </c>
      <c r="F60" s="10">
        <v>0</v>
      </c>
      <c r="G60" s="146"/>
      <c r="H60" s="146"/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2"/>
        <v>0</v>
      </c>
    </row>
    <row r="61" spans="1:18">
      <c r="A61" s="483"/>
      <c r="B61" s="485" t="s">
        <v>13</v>
      </c>
      <c r="C61" s="486"/>
      <c r="D61" s="11" t="s">
        <v>12</v>
      </c>
      <c r="E61" s="14" t="s">
        <v>11</v>
      </c>
      <c r="F61" s="9">
        <v>0</v>
      </c>
      <c r="G61" s="146">
        <v>3000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3000</v>
      </c>
      <c r="P61" s="9"/>
      <c r="Q61" s="9">
        <v>0</v>
      </c>
      <c r="R61" s="156">
        <f t="shared" si="12"/>
        <v>12000</v>
      </c>
    </row>
    <row r="62" spans="1:18">
      <c r="A62" s="483"/>
      <c r="B62" s="487"/>
      <c r="C62" s="486"/>
      <c r="D62" s="11" t="s">
        <v>10</v>
      </c>
      <c r="E62" s="14" t="s">
        <v>9</v>
      </c>
      <c r="F62" s="9">
        <v>0</v>
      </c>
      <c r="G62" s="146"/>
      <c r="H62" s="146">
        <v>7000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2"/>
        <v>7000</v>
      </c>
    </row>
    <row r="63" spans="1:18">
      <c r="A63" s="483"/>
      <c r="B63" s="485" t="s">
        <v>8</v>
      </c>
      <c r="C63" s="486"/>
      <c r="D63" s="13" t="s">
        <v>7</v>
      </c>
      <c r="E63" s="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2"/>
        <v>26000</v>
      </c>
    </row>
    <row r="64" spans="1:18">
      <c r="A64" s="483"/>
      <c r="B64" s="486"/>
      <c r="C64" s="486"/>
      <c r="D64" s="488" t="s">
        <v>5</v>
      </c>
      <c r="E64" s="11" t="s">
        <v>121</v>
      </c>
      <c r="F64" s="9">
        <v>0</v>
      </c>
      <c r="G64" s="9"/>
      <c r="H64" s="9">
        <v>5000</v>
      </c>
      <c r="I64" s="9"/>
      <c r="J64" s="9"/>
      <c r="K64" s="10"/>
      <c r="L64" s="10"/>
      <c r="M64" s="10">
        <v>5000</v>
      </c>
      <c r="N64" s="10"/>
      <c r="O64" s="10"/>
      <c r="P64" s="144">
        <v>1438</v>
      </c>
      <c r="Q64" s="9"/>
      <c r="R64" s="156">
        <f t="shared" si="12"/>
        <v>11438</v>
      </c>
    </row>
    <row r="65" spans="1:18">
      <c r="A65" s="483"/>
      <c r="B65" s="486"/>
      <c r="C65" s="486"/>
      <c r="D65" s="489"/>
      <c r="E65" s="11" t="s">
        <v>4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155">
        <f t="shared" si="12"/>
        <v>0</v>
      </c>
    </row>
    <row r="66" spans="1:18">
      <c r="A66" s="483"/>
      <c r="B66" s="487"/>
      <c r="C66" s="487"/>
      <c r="D66" s="490"/>
      <c r="E66" s="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2"/>
        <v>0</v>
      </c>
    </row>
    <row r="67" spans="1:18" ht="17.399999999999999" customHeight="1">
      <c r="A67" s="494" t="s">
        <v>134</v>
      </c>
      <c r="B67" s="495"/>
      <c r="C67" s="495"/>
      <c r="D67" s="495"/>
      <c r="E67" s="496"/>
      <c r="F67" s="8">
        <f t="shared" ref="F67:R67" si="13">SUM(F53:F66)</f>
        <v>0</v>
      </c>
      <c r="G67" s="8">
        <f t="shared" si="13"/>
        <v>208700</v>
      </c>
      <c r="H67" s="8">
        <f t="shared" si="13"/>
        <v>12000</v>
      </c>
      <c r="I67" s="8">
        <f t="shared" si="13"/>
        <v>3000</v>
      </c>
      <c r="J67" s="8">
        <f t="shared" si="13"/>
        <v>7500</v>
      </c>
      <c r="K67" s="8">
        <f t="shared" si="13"/>
        <v>8000</v>
      </c>
      <c r="L67" s="8">
        <f t="shared" si="13"/>
        <v>3000</v>
      </c>
      <c r="M67" s="8">
        <f t="shared" si="13"/>
        <v>30000</v>
      </c>
      <c r="N67" s="8">
        <f t="shared" si="13"/>
        <v>11000</v>
      </c>
      <c r="O67" s="8">
        <f t="shared" si="13"/>
        <v>3000</v>
      </c>
      <c r="P67" s="8">
        <f t="shared" si="13"/>
        <v>27438</v>
      </c>
      <c r="Q67" s="8">
        <f t="shared" si="13"/>
        <v>0</v>
      </c>
      <c r="R67" s="7">
        <f t="shared" si="13"/>
        <v>313638</v>
      </c>
    </row>
    <row r="68" spans="1:18">
      <c r="A68" s="497" t="s">
        <v>1</v>
      </c>
      <c r="B68" s="498"/>
      <c r="C68" s="498"/>
      <c r="D68" s="498"/>
      <c r="E68" s="499"/>
      <c r="F68" s="5">
        <f>SUM(F54:F59)*17.65%+F61*17.65%+F63*17.65%</f>
        <v>0</v>
      </c>
      <c r="G68" s="5">
        <f>(SUM(G54:G59))*17.65%+G61*17.65%+G63*17.65%</f>
        <v>36094.25</v>
      </c>
      <c r="H68" s="5">
        <f>(SUM(H54:H60))*17.65%+H61*17.65%+H63*17.65%</f>
        <v>0</v>
      </c>
      <c r="I68" s="5">
        <f>SUM(I54:I59)*17.65%+I61*17.65%+I63*17.65%</f>
        <v>529.5</v>
      </c>
      <c r="J68" s="5">
        <f>SUM(J54:J59)*17.65%+J61*17.65%+J63*17.65%</f>
        <v>1323.75</v>
      </c>
      <c r="K68" s="5">
        <f>SUM(K54:K59)*17.65%+K61*17.65%+K63*17.65%</f>
        <v>1412</v>
      </c>
      <c r="L68" s="5">
        <f>SUM(L54:L59)*17.65%+L61*17.65%+L63*17.65%</f>
        <v>529.5</v>
      </c>
      <c r="M68" s="5">
        <f>SUM(M54:M59)*17.65%+M61*17.65%+M63*17.65%</f>
        <v>4412.5</v>
      </c>
      <c r="N68" s="5">
        <f t="shared" ref="N68:Q68" si="14">SUM(N54:N59)*17.65%+N61*17.65%+N63*17.65%</f>
        <v>1941.5</v>
      </c>
      <c r="O68" s="5">
        <f t="shared" si="14"/>
        <v>529.5</v>
      </c>
      <c r="P68" s="5">
        <f t="shared" si="14"/>
        <v>4589</v>
      </c>
      <c r="Q68" s="5">
        <f t="shared" si="14"/>
        <v>0</v>
      </c>
      <c r="R68" s="5">
        <f>SUM(F68:Q68)</f>
        <v>51361.5</v>
      </c>
    </row>
    <row r="69" spans="1:18">
      <c r="A69" s="493" t="s">
        <v>133</v>
      </c>
      <c r="B69" s="493"/>
      <c r="C69" s="493"/>
      <c r="D69" s="493"/>
      <c r="E69" s="493"/>
      <c r="F69" s="6">
        <f>F67+F68</f>
        <v>0</v>
      </c>
      <c r="G69" s="6">
        <f>G67+G68</f>
        <v>244794.25</v>
      </c>
      <c r="H69" s="6">
        <f>H67+H68</f>
        <v>12000</v>
      </c>
      <c r="I69" s="6">
        <f>I67+I68</f>
        <v>3529.5</v>
      </c>
      <c r="J69" s="6">
        <f>J67+J68-1</f>
        <v>8822.75</v>
      </c>
      <c r="K69" s="6">
        <f t="shared" ref="K69:R69" si="15">K67+K68</f>
        <v>9412</v>
      </c>
      <c r="L69" s="6">
        <f t="shared" si="15"/>
        <v>3529.5</v>
      </c>
      <c r="M69" s="6">
        <f t="shared" si="15"/>
        <v>34412.5</v>
      </c>
      <c r="N69" s="6">
        <f t="shared" si="15"/>
        <v>12941.5</v>
      </c>
      <c r="O69" s="6">
        <f t="shared" si="15"/>
        <v>3529.5</v>
      </c>
      <c r="P69" s="6">
        <f t="shared" si="15"/>
        <v>32027</v>
      </c>
      <c r="Q69" s="6">
        <f t="shared" si="15"/>
        <v>0</v>
      </c>
      <c r="R69" s="6">
        <f t="shared" si="15"/>
        <v>364999.5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</sheetData>
  <mergeCells count="45">
    <mergeCell ref="A69:E69"/>
    <mergeCell ref="A50:R50"/>
    <mergeCell ref="A53:A66"/>
    <mergeCell ref="B53:B54"/>
    <mergeCell ref="C53:C66"/>
    <mergeCell ref="B55:B60"/>
    <mergeCell ref="D55:D57"/>
    <mergeCell ref="B61:B62"/>
    <mergeCell ref="B63:B66"/>
    <mergeCell ref="D64:D66"/>
    <mergeCell ref="A47:E47"/>
    <mergeCell ref="A48:E48"/>
    <mergeCell ref="A67:E67"/>
    <mergeCell ref="A49:E49"/>
    <mergeCell ref="A68:E68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B28:E28"/>
    <mergeCell ref="B30:E30"/>
    <mergeCell ref="A31:E31"/>
    <mergeCell ref="B22:B27"/>
    <mergeCell ref="C22:C25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D22:D25"/>
    <mergeCell ref="C26:C27"/>
    <mergeCell ref="D26:D27"/>
    <mergeCell ref="C10:C14"/>
    <mergeCell ref="C15:C18"/>
    <mergeCell ref="B19:E19"/>
    <mergeCell ref="B21:E21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DB47-3FC0-4D4C-BDDB-4A0730D4313B}">
  <sheetPr>
    <pageSetUpPr fitToPage="1"/>
  </sheetPr>
  <dimension ref="A1:U92"/>
  <sheetViews>
    <sheetView zoomScale="70" zoomScaleNormal="70" workbookViewId="0">
      <selection sqref="A1:F1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11.796875" style="148" bestFit="1" customWidth="1"/>
    <col min="21" max="16384" width="8.796875" style="148"/>
  </cols>
  <sheetData>
    <row r="1" spans="1:18" ht="30">
      <c r="A1" s="464" t="s">
        <v>110</v>
      </c>
      <c r="B1" s="464"/>
      <c r="C1" s="464"/>
      <c r="D1" s="464"/>
      <c r="E1" s="464"/>
      <c r="F1" s="464"/>
      <c r="R1" s="46" t="s">
        <v>141</v>
      </c>
    </row>
    <row r="2" spans="1:18" ht="17.25" customHeight="1">
      <c r="A2" s="212"/>
      <c r="B2" s="212"/>
      <c r="C2" s="212"/>
      <c r="D2" s="212"/>
      <c r="E2" s="212"/>
      <c r="F2" s="212"/>
      <c r="R2" s="44" t="s">
        <v>80</v>
      </c>
    </row>
    <row r="3" spans="1:18">
      <c r="A3" s="465" t="s">
        <v>60</v>
      </c>
      <c r="B3" s="465"/>
      <c r="C3" s="465"/>
      <c r="D3" s="465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66" t="s">
        <v>66</v>
      </c>
      <c r="B4" s="467"/>
      <c r="C4" s="467"/>
      <c r="D4" s="467"/>
      <c r="E4" s="468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69" t="s">
        <v>60</v>
      </c>
      <c r="B5" s="471" t="s">
        <v>24</v>
      </c>
      <c r="C5" s="473" t="s">
        <v>34</v>
      </c>
      <c r="D5" s="213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69"/>
      <c r="B6" s="472"/>
      <c r="C6" s="472"/>
      <c r="D6" s="211" t="s">
        <v>58</v>
      </c>
      <c r="E6" s="211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70">
        <v>70000</v>
      </c>
      <c r="M6" s="170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1250000</v>
      </c>
    </row>
    <row r="7" spans="1:18">
      <c r="A7" s="469"/>
      <c r="B7" s="474" t="s">
        <v>56</v>
      </c>
      <c r="C7" s="475"/>
      <c r="D7" s="475"/>
      <c r="E7" s="476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1450000</v>
      </c>
    </row>
    <row r="8" spans="1:18">
      <c r="A8" s="469"/>
      <c r="B8" s="471" t="s">
        <v>21</v>
      </c>
      <c r="C8" s="477" t="s">
        <v>34</v>
      </c>
      <c r="D8" s="208" t="s">
        <v>115</v>
      </c>
      <c r="E8" s="211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>
      <c r="A9" s="469"/>
      <c r="B9" s="471"/>
      <c r="C9" s="477"/>
      <c r="D9" s="211" t="s">
        <v>116</v>
      </c>
      <c r="E9" s="211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>
      <c r="A10" s="469"/>
      <c r="B10" s="471"/>
      <c r="C10" s="477" t="s">
        <v>55</v>
      </c>
      <c r="D10" s="208" t="s">
        <v>50</v>
      </c>
      <c r="E10" s="2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69"/>
      <c r="B11" s="471"/>
      <c r="C11" s="477"/>
      <c r="D11" s="211" t="s">
        <v>54</v>
      </c>
      <c r="E11" s="215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69"/>
      <c r="B12" s="471"/>
      <c r="C12" s="477"/>
      <c r="D12" s="211" t="s">
        <v>54</v>
      </c>
      <c r="E12" s="215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69"/>
      <c r="B13" s="471"/>
      <c r="C13" s="477"/>
      <c r="D13" s="210" t="s">
        <v>53</v>
      </c>
      <c r="E13" s="2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69"/>
      <c r="B14" s="471"/>
      <c r="C14" s="477"/>
      <c r="D14" s="211" t="s">
        <v>52</v>
      </c>
      <c r="E14" s="2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69"/>
      <c r="B15" s="471"/>
      <c r="C15" s="473" t="s">
        <v>39</v>
      </c>
      <c r="D15" s="209" t="s">
        <v>50</v>
      </c>
      <c r="E15" s="2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69"/>
      <c r="B16" s="471"/>
      <c r="C16" s="471"/>
      <c r="D16" s="209" t="s">
        <v>50</v>
      </c>
      <c r="E16" s="2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69"/>
      <c r="B17" s="471"/>
      <c r="C17" s="471"/>
      <c r="D17" s="209" t="s">
        <v>50</v>
      </c>
      <c r="E17" s="211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70">
        <v>500</v>
      </c>
      <c r="L17" s="170">
        <v>1030</v>
      </c>
      <c r="M17" s="170">
        <v>500</v>
      </c>
      <c r="N17" s="170">
        <v>1030</v>
      </c>
      <c r="O17" s="170">
        <v>500</v>
      </c>
      <c r="P17" s="170">
        <v>1030</v>
      </c>
      <c r="Q17" s="9"/>
      <c r="R17" s="9">
        <f t="shared" si="0"/>
        <v>7680</v>
      </c>
    </row>
    <row r="18" spans="1:21">
      <c r="A18" s="469"/>
      <c r="B18" s="471"/>
      <c r="C18" s="471"/>
      <c r="D18" s="209" t="s">
        <v>50</v>
      </c>
      <c r="E18" s="211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70">
        <v>5000</v>
      </c>
      <c r="L18" s="170">
        <v>4440</v>
      </c>
      <c r="M18" s="170">
        <v>5000</v>
      </c>
      <c r="N18" s="170">
        <v>4440</v>
      </c>
      <c r="O18" s="170">
        <v>5000</v>
      </c>
      <c r="P18" s="170">
        <v>4440</v>
      </c>
      <c r="Q18" s="9"/>
      <c r="R18" s="9">
        <f t="shared" si="0"/>
        <v>46290</v>
      </c>
    </row>
    <row r="19" spans="1:21">
      <c r="A19" s="469"/>
      <c r="B19" s="474" t="s">
        <v>48</v>
      </c>
      <c r="C19" s="475"/>
      <c r="D19" s="475"/>
      <c r="E19" s="476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 t="shared" si="2"/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>
      <c r="A20" s="469"/>
      <c r="B20" s="216" t="s">
        <v>14</v>
      </c>
      <c r="C20" s="216" t="s">
        <v>34</v>
      </c>
      <c r="D20" s="214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69"/>
      <c r="B21" s="474" t="s">
        <v>46</v>
      </c>
      <c r="C21" s="475"/>
      <c r="D21" s="475"/>
      <c r="E21" s="476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69"/>
      <c r="B22" s="478" t="s">
        <v>45</v>
      </c>
      <c r="C22" s="473" t="s">
        <v>34</v>
      </c>
      <c r="D22" s="473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69"/>
      <c r="B23" s="479"/>
      <c r="C23" s="471"/>
      <c r="D23" s="471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69"/>
      <c r="B24" s="479"/>
      <c r="C24" s="471"/>
      <c r="D24" s="471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69"/>
      <c r="B25" s="479"/>
      <c r="C25" s="472"/>
      <c r="D25" s="472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69"/>
      <c r="B26" s="479"/>
      <c r="C26" s="473" t="s">
        <v>39</v>
      </c>
      <c r="D26" s="473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69"/>
      <c r="B27" s="479"/>
      <c r="C27" s="472"/>
      <c r="D27" s="472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69"/>
      <c r="B28" s="474" t="s">
        <v>36</v>
      </c>
      <c r="C28" s="475"/>
      <c r="D28" s="475"/>
      <c r="E28" s="476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69"/>
      <c r="B29" s="216" t="s">
        <v>35</v>
      </c>
      <c r="C29" s="214" t="s">
        <v>34</v>
      </c>
      <c r="D29" s="214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0"/>
      <c r="B30" s="474" t="s">
        <v>31</v>
      </c>
      <c r="C30" s="475"/>
      <c r="D30" s="475"/>
      <c r="E30" s="476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81" t="s">
        <v>30</v>
      </c>
      <c r="B31" s="481"/>
      <c r="C31" s="481"/>
      <c r="D31" s="481"/>
      <c r="E31" s="481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2123000</v>
      </c>
      <c r="T31" s="2"/>
      <c r="U31" s="2"/>
    </row>
    <row r="32" spans="1:21">
      <c r="A32" s="482" t="s">
        <v>17</v>
      </c>
      <c r="B32" s="485" t="s">
        <v>24</v>
      </c>
      <c r="C32" s="488" t="s">
        <v>17</v>
      </c>
      <c r="D32" s="485" t="s">
        <v>23</v>
      </c>
      <c r="E32" s="211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>
      <c r="A33" s="483"/>
      <c r="B33" s="486"/>
      <c r="C33" s="489"/>
      <c r="D33" s="487"/>
      <c r="E33" s="2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>
      <c r="A34" s="483"/>
      <c r="B34" s="487"/>
      <c r="C34" s="489"/>
      <c r="D34" s="209" t="s">
        <v>17</v>
      </c>
      <c r="E34" s="211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70">
        <v>2200</v>
      </c>
      <c r="M34" s="9"/>
      <c r="N34" s="9"/>
      <c r="O34" s="9"/>
      <c r="P34" s="9"/>
      <c r="Q34" s="9"/>
      <c r="R34" s="156">
        <f>SUM(F34:Q34)</f>
        <v>165851.15</v>
      </c>
      <c r="U34" s="2"/>
    </row>
    <row r="35" spans="1:21" ht="17.399999999999999" customHeight="1">
      <c r="A35" s="483"/>
      <c r="B35" s="485" t="s">
        <v>21</v>
      </c>
      <c r="C35" s="486"/>
      <c r="D35" s="48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>
      <c r="A36" s="483"/>
      <c r="B36" s="486"/>
      <c r="C36" s="486"/>
      <c r="D36" s="486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>
      <c r="A37" s="483"/>
      <c r="B37" s="486"/>
      <c r="C37" s="486"/>
      <c r="D37" s="487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v>31940</v>
      </c>
      <c r="P37" s="16"/>
      <c r="Q37" s="9">
        <v>0</v>
      </c>
      <c r="R37" s="156">
        <f>SUM(F37:Q37)</f>
        <v>51352.25</v>
      </c>
      <c r="T37" s="2"/>
    </row>
    <row r="38" spans="1:21" ht="17.399999999999999" hidden="1" customHeight="1">
      <c r="A38" s="483"/>
      <c r="B38" s="486"/>
      <c r="C38" s="486"/>
      <c r="D38" s="2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83"/>
      <c r="B39" s="486"/>
      <c r="C39" s="486"/>
      <c r="D39" s="211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70">
        <f>520*1.1765</f>
        <v>611.78000000000009</v>
      </c>
      <c r="M39" s="170"/>
      <c r="N39" s="146"/>
      <c r="O39" s="146">
        <v>0</v>
      </c>
      <c r="P39" s="16"/>
      <c r="Q39" s="9">
        <v>0</v>
      </c>
      <c r="R39" s="156">
        <f t="shared" si="8"/>
        <v>2258.88</v>
      </c>
    </row>
    <row r="40" spans="1:21">
      <c r="A40" s="483"/>
      <c r="B40" s="487"/>
      <c r="C40" s="486"/>
      <c r="D40" s="211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70">
        <f>5000*1.1</f>
        <v>5500</v>
      </c>
      <c r="N40" s="9"/>
      <c r="O40" s="16"/>
      <c r="P40" s="16"/>
      <c r="Q40" s="9">
        <v>0</v>
      </c>
      <c r="R40" s="156">
        <f>SUM(F40:Q40)</f>
        <v>5852.95</v>
      </c>
      <c r="T40" s="1"/>
    </row>
    <row r="41" spans="1:21">
      <c r="A41" s="483"/>
      <c r="B41" s="485" t="s">
        <v>13</v>
      </c>
      <c r="C41" s="486"/>
      <c r="D41" s="211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70"/>
      <c r="P41" s="16"/>
      <c r="Q41" s="9">
        <v>0</v>
      </c>
      <c r="R41" s="156">
        <f t="shared" si="8"/>
        <v>1990</v>
      </c>
      <c r="T41" s="1"/>
    </row>
    <row r="42" spans="1:21">
      <c r="A42" s="483"/>
      <c r="B42" s="487"/>
      <c r="C42" s="486"/>
      <c r="D42" s="211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70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>
      <c r="A43" s="483"/>
      <c r="B43" s="485" t="s">
        <v>8</v>
      </c>
      <c r="C43" s="486"/>
      <c r="D43" s="13" t="s">
        <v>7</v>
      </c>
      <c r="E43" s="2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2"/>
    </row>
    <row r="44" spans="1:21">
      <c r="A44" s="483"/>
      <c r="B44" s="486"/>
      <c r="C44" s="486"/>
      <c r="D44" s="488" t="s">
        <v>5</v>
      </c>
      <c r="E44" s="211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70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</row>
    <row r="45" spans="1:21">
      <c r="A45" s="483"/>
      <c r="B45" s="486"/>
      <c r="C45" s="486"/>
      <c r="D45" s="489"/>
      <c r="E45" s="211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12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>
      <c r="A46" s="484"/>
      <c r="B46" s="487"/>
      <c r="C46" s="487"/>
      <c r="D46" s="490"/>
      <c r="E46" s="211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91" t="s">
        <v>133</v>
      </c>
      <c r="B47" s="491"/>
      <c r="C47" s="491"/>
      <c r="D47" s="491"/>
      <c r="E47" s="491"/>
      <c r="F47" s="8">
        <f>SUM(F32:F43)</f>
        <v>0</v>
      </c>
      <c r="G47" s="8">
        <f t="shared" ref="G47:Q47" si="10">SUM(G32:G46)</f>
        <v>17640.900000000001</v>
      </c>
      <c r="H47" s="8">
        <f>SUM(H32:H46)</f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7741.7800000000007</v>
      </c>
      <c r="M47" s="8">
        <f t="shared" si="10"/>
        <v>8676.5499999999993</v>
      </c>
      <c r="N47" s="23">
        <f t="shared" si="10"/>
        <v>3176.55</v>
      </c>
      <c r="O47" s="8">
        <f t="shared" si="10"/>
        <v>31940</v>
      </c>
      <c r="P47" s="8">
        <f t="shared" si="10"/>
        <v>32989</v>
      </c>
      <c r="Q47" s="8">
        <f t="shared" si="10"/>
        <v>0</v>
      </c>
      <c r="R47" s="7">
        <f>SUM(R32:R46)</f>
        <v>276999.53000000003</v>
      </c>
      <c r="T47" s="2"/>
      <c r="U47" s="2"/>
    </row>
    <row r="48" spans="1:21">
      <c r="A48" s="492" t="s">
        <v>28</v>
      </c>
      <c r="B48" s="492"/>
      <c r="C48" s="492"/>
      <c r="D48" s="492"/>
      <c r="E48" s="492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148264.79999999999</v>
      </c>
      <c r="L48" s="22">
        <f t="shared" si="11"/>
        <v>102211.78</v>
      </c>
      <c r="M48" s="22">
        <f t="shared" si="11"/>
        <v>180674.55</v>
      </c>
      <c r="N48" s="22">
        <f t="shared" si="11"/>
        <v>171626.55</v>
      </c>
      <c r="O48" s="22">
        <f t="shared" si="11"/>
        <v>112610</v>
      </c>
      <c r="P48" s="22">
        <f>SUM(P31,P47)</f>
        <v>38459</v>
      </c>
      <c r="Q48" s="22">
        <f>SUM(Q31,Q47)</f>
        <v>0</v>
      </c>
      <c r="R48" s="22">
        <f>R31+R47</f>
        <v>2399999.5300000003</v>
      </c>
      <c r="U48" s="2"/>
    </row>
    <row r="49" spans="1:18">
      <c r="A49" s="493" t="s">
        <v>132</v>
      </c>
      <c r="B49" s="493"/>
      <c r="C49" s="493"/>
      <c r="D49" s="493"/>
      <c r="E49" s="493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148264.79999999999</v>
      </c>
      <c r="L49" s="21">
        <f t="shared" si="12"/>
        <v>102211.78</v>
      </c>
      <c r="M49" s="21">
        <f t="shared" si="12"/>
        <v>180674.55</v>
      </c>
      <c r="N49" s="21">
        <f t="shared" si="12"/>
        <v>171626.55</v>
      </c>
      <c r="O49" s="21">
        <f t="shared" si="12"/>
        <v>112610</v>
      </c>
      <c r="P49" s="21">
        <f t="shared" si="12"/>
        <v>38459</v>
      </c>
      <c r="Q49" s="21">
        <f t="shared" si="12"/>
        <v>0</v>
      </c>
      <c r="R49" s="21">
        <f>R31+R47</f>
        <v>2399999.5300000003</v>
      </c>
    </row>
    <row r="50" spans="1:18" ht="69" customHeight="1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82" t="s">
        <v>17</v>
      </c>
      <c r="B53" s="485" t="s">
        <v>24</v>
      </c>
      <c r="C53" s="488" t="s">
        <v>17</v>
      </c>
      <c r="D53" s="211" t="s">
        <v>23</v>
      </c>
      <c r="E53" s="211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83"/>
      <c r="B54" s="487"/>
      <c r="C54" s="489"/>
      <c r="D54" s="211" t="s">
        <v>17</v>
      </c>
      <c r="E54" s="211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/>
      <c r="M54" s="10"/>
      <c r="N54" s="9"/>
      <c r="O54" s="9"/>
      <c r="P54" s="9"/>
      <c r="Q54" s="9"/>
      <c r="R54" s="156">
        <f>SUM(F54:Q54)</f>
        <v>139100</v>
      </c>
    </row>
    <row r="55" spans="1:18" ht="17.399999999999999" customHeight="1">
      <c r="A55" s="483"/>
      <c r="B55" s="500" t="s">
        <v>21</v>
      </c>
      <c r="C55" s="486"/>
      <c r="D55" s="48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>
      <c r="A56" s="483"/>
      <c r="B56" s="500"/>
      <c r="C56" s="486"/>
      <c r="D56" s="486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>
      <c r="A57" s="483"/>
      <c r="B57" s="500"/>
      <c r="C57" s="486"/>
      <c r="D57" s="487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>
      <c r="A58" s="483"/>
      <c r="B58" s="500"/>
      <c r="C58" s="486"/>
      <c r="D58" s="211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83"/>
      <c r="B59" s="500"/>
      <c r="C59" s="486"/>
      <c r="D59" s="211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4550</v>
      </c>
      <c r="M59" s="146"/>
      <c r="N59" s="146"/>
      <c r="O59" s="146"/>
      <c r="P59" s="9"/>
      <c r="Q59" s="9"/>
      <c r="R59" s="156">
        <f t="shared" si="13"/>
        <v>5950</v>
      </c>
    </row>
    <row r="60" spans="1:18">
      <c r="A60" s="483"/>
      <c r="B60" s="500"/>
      <c r="C60" s="486"/>
      <c r="D60" s="211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>
        <v>5000</v>
      </c>
      <c r="M60" s="146"/>
      <c r="N60" s="146"/>
      <c r="O60" s="146"/>
      <c r="P60" s="9"/>
      <c r="Q60" s="9">
        <v>0</v>
      </c>
      <c r="R60" s="156">
        <f t="shared" si="13"/>
        <v>5300</v>
      </c>
    </row>
    <row r="61" spans="1:18">
      <c r="A61" s="483"/>
      <c r="B61" s="485" t="s">
        <v>13</v>
      </c>
      <c r="C61" s="486"/>
      <c r="D61" s="211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3"/>
        <v>1990</v>
      </c>
    </row>
    <row r="62" spans="1:18">
      <c r="A62" s="483"/>
      <c r="B62" s="487"/>
      <c r="C62" s="486"/>
      <c r="D62" s="211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380</v>
      </c>
      <c r="M62" s="146">
        <v>1500</v>
      </c>
      <c r="N62" s="146"/>
      <c r="O62" s="146"/>
      <c r="P62" s="9"/>
      <c r="Q62" s="9">
        <v>0</v>
      </c>
      <c r="R62" s="156">
        <f t="shared" si="13"/>
        <v>6450</v>
      </c>
    </row>
    <row r="63" spans="1:18">
      <c r="A63" s="483"/>
      <c r="B63" s="485" t="s">
        <v>8</v>
      </c>
      <c r="C63" s="486"/>
      <c r="D63" s="13" t="s">
        <v>7</v>
      </c>
      <c r="E63" s="2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83"/>
      <c r="B64" s="486"/>
      <c r="C64" s="486"/>
      <c r="D64" s="488" t="s">
        <v>5</v>
      </c>
      <c r="E64" s="211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0</v>
      </c>
      <c r="M64" s="146"/>
      <c r="N64" s="10"/>
      <c r="O64" s="10"/>
      <c r="P64" s="146">
        <f>(60*40)</f>
        <v>2400</v>
      </c>
      <c r="Q64" s="9"/>
      <c r="R64" s="156">
        <f t="shared" si="13"/>
        <v>4375</v>
      </c>
    </row>
    <row r="65" spans="1:18">
      <c r="A65" s="483"/>
      <c r="B65" s="486"/>
      <c r="C65" s="486"/>
      <c r="D65" s="489"/>
      <c r="E65" s="211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/>
      <c r="M65" s="10"/>
      <c r="N65" s="10"/>
      <c r="O65" s="9"/>
      <c r="P65" s="9"/>
      <c r="Q65" s="9">
        <v>0</v>
      </c>
      <c r="R65" s="155">
        <f t="shared" si="13"/>
        <v>60</v>
      </c>
    </row>
    <row r="66" spans="1:18">
      <c r="A66" s="483"/>
      <c r="B66" s="487"/>
      <c r="C66" s="487"/>
      <c r="D66" s="490"/>
      <c r="E66" s="2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94" t="s">
        <v>134</v>
      </c>
      <c r="B67" s="495"/>
      <c r="C67" s="495"/>
      <c r="D67" s="495"/>
      <c r="E67" s="496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9965</v>
      </c>
      <c r="K67" s="8">
        <f t="shared" si="14"/>
        <v>3200</v>
      </c>
      <c r="L67" s="8">
        <f t="shared" si="14"/>
        <v>12630</v>
      </c>
      <c r="M67" s="8">
        <f t="shared" si="14"/>
        <v>4200</v>
      </c>
      <c r="N67" s="8">
        <f t="shared" si="14"/>
        <v>2700</v>
      </c>
      <c r="O67" s="8">
        <f>SUM(O53:O66)</f>
        <v>30000</v>
      </c>
      <c r="P67" s="8">
        <f t="shared" si="14"/>
        <v>28400</v>
      </c>
      <c r="Q67" s="8">
        <f t="shared" si="14"/>
        <v>0</v>
      </c>
      <c r="R67" s="7">
        <f>SUM(R53:R66)</f>
        <v>243125</v>
      </c>
    </row>
    <row r="68" spans="1:18">
      <c r="A68" s="497" t="s">
        <v>1</v>
      </c>
      <c r="B68" s="498"/>
      <c r="C68" s="498"/>
      <c r="D68" s="498"/>
      <c r="E68" s="49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5">(SUM(K54:K59))*17.65%+K61*17.65%+K63*17.65%+K53*0.1</f>
        <v>564.79999999999995</v>
      </c>
      <c r="L68" s="5">
        <f>(SUM(L54:L58))*17.65%+L61*17.65%+L63*17.65%+L53*0.1+L60*0.1</f>
        <v>976.55</v>
      </c>
      <c r="M68" s="5">
        <f>(SUM(M54:M59))*17.65%+M61*17.65%+M63*17.65%+M53*0.1</f>
        <v>476.54999999999995</v>
      </c>
      <c r="N68" s="5">
        <f t="shared" si="15"/>
        <v>476.54999999999995</v>
      </c>
      <c r="O68" s="5"/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33799</v>
      </c>
    </row>
    <row r="69" spans="1:18">
      <c r="A69" s="493" t="s">
        <v>133</v>
      </c>
      <c r="B69" s="493"/>
      <c r="C69" s="493"/>
      <c r="D69" s="493"/>
      <c r="E69" s="493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11676.05</v>
      </c>
      <c r="K69" s="6">
        <f t="shared" ref="K69:Q69" si="17">K67+K68</f>
        <v>3764.8</v>
      </c>
      <c r="L69" s="6">
        <f t="shared" si="17"/>
        <v>13606.55</v>
      </c>
      <c r="M69" s="6">
        <f t="shared" si="17"/>
        <v>4676.55</v>
      </c>
      <c r="N69" s="6">
        <f t="shared" si="17"/>
        <v>3176.55</v>
      </c>
      <c r="O69" s="6">
        <f t="shared" si="17"/>
        <v>30000</v>
      </c>
      <c r="P69" s="6">
        <f t="shared" si="17"/>
        <v>32989</v>
      </c>
      <c r="Q69" s="6">
        <f t="shared" si="17"/>
        <v>0</v>
      </c>
      <c r="R69" s="6">
        <f>R67+R68</f>
        <v>276924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8" spans="5:5">
      <c r="E88" s="148">
        <v>152</v>
      </c>
    </row>
    <row r="89" spans="5:5">
      <c r="E89" s="148">
        <v>140</v>
      </c>
    </row>
    <row r="91" spans="5:5">
      <c r="E91" s="148">
        <f>E88+E89</f>
        <v>292</v>
      </c>
    </row>
    <row r="92" spans="5:5">
      <c r="E92" s="148">
        <f>E91*17.65%</f>
        <v>51.537999999999997</v>
      </c>
    </row>
  </sheetData>
  <mergeCells count="45"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420-03A2-4B0F-82D4-629263123B66}">
  <sheetPr>
    <tabColor rgb="FFFF0000"/>
  </sheetPr>
  <dimension ref="B1:W29"/>
  <sheetViews>
    <sheetView zoomScale="81" zoomScaleNormal="81" workbookViewId="0">
      <selection activeCell="B2" sqref="B2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142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501" t="s">
        <v>101</v>
      </c>
      <c r="C11" s="502"/>
      <c r="D11" s="128" t="s">
        <v>98</v>
      </c>
      <c r="E11" s="97" t="s">
        <v>97</v>
      </c>
      <c r="F11" s="95" t="s">
        <v>96</v>
      </c>
      <c r="G11" s="97" t="s">
        <v>95</v>
      </c>
      <c r="H11" s="206" t="s">
        <v>94</v>
      </c>
      <c r="I11" s="206" t="s">
        <v>93</v>
      </c>
      <c r="J11" s="206" t="s">
        <v>76</v>
      </c>
      <c r="K11" s="206" t="s">
        <v>75</v>
      </c>
      <c r="L11" s="95" t="s">
        <v>74</v>
      </c>
      <c r="M11" s="97" t="s">
        <v>73</v>
      </c>
      <c r="N11" s="206" t="s">
        <v>72</v>
      </c>
      <c r="O11" s="206" t="s">
        <v>71</v>
      </c>
      <c r="P11" s="206" t="s">
        <v>70</v>
      </c>
      <c r="Q11" s="206" t="s">
        <v>69</v>
      </c>
      <c r="R11" s="95" t="s">
        <v>68</v>
      </c>
      <c r="S11" s="503" t="s">
        <v>106</v>
      </c>
      <c r="T11" s="503"/>
      <c r="U11" s="504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1792427</v>
      </c>
      <c r="F12" s="123">
        <f>SUM(M12:R12)</f>
        <v>607573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557736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183030</v>
      </c>
      <c r="O12" s="121">
        <f t="shared" si="0"/>
        <v>171627</v>
      </c>
      <c r="P12" s="121">
        <f t="shared" si="0"/>
        <v>136481</v>
      </c>
      <c r="Q12" s="121">
        <f t="shared" si="0"/>
        <v>11047</v>
      </c>
      <c r="R12" s="120">
        <f t="shared" si="0"/>
        <v>3176</v>
      </c>
      <c r="S12" s="505"/>
      <c r="T12" s="505"/>
      <c r="U12" s="506"/>
    </row>
    <row r="13" spans="2:22" ht="20.100000000000001" customHeight="1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1792427</v>
      </c>
      <c r="F13" s="115">
        <f>SUM(M13:R13)</f>
        <v>607573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557736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183030</v>
      </c>
      <c r="O13" s="110">
        <f t="shared" si="1"/>
        <v>171627</v>
      </c>
      <c r="P13" s="110">
        <f t="shared" si="1"/>
        <v>136481</v>
      </c>
      <c r="Q13" s="110">
        <f t="shared" si="1"/>
        <v>11047</v>
      </c>
      <c r="R13" s="109">
        <f t="shared" si="1"/>
        <v>3176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7" t="s">
        <v>101</v>
      </c>
      <c r="C16" s="508"/>
      <c r="D16" s="206" t="s">
        <v>100</v>
      </c>
      <c r="E16" s="509" t="s">
        <v>99</v>
      </c>
      <c r="F16" s="510"/>
      <c r="G16" s="100" t="s">
        <v>98</v>
      </c>
      <c r="H16" s="97" t="s">
        <v>97</v>
      </c>
      <c r="I16" s="95" t="s">
        <v>96</v>
      </c>
      <c r="J16" s="97" t="s">
        <v>95</v>
      </c>
      <c r="K16" s="206" t="s">
        <v>94</v>
      </c>
      <c r="L16" s="95" t="s">
        <v>93</v>
      </c>
      <c r="M16" s="99" t="s">
        <v>76</v>
      </c>
      <c r="N16" s="206" t="s">
        <v>75</v>
      </c>
      <c r="O16" s="207" t="s">
        <v>74</v>
      </c>
      <c r="P16" s="97" t="s">
        <v>73</v>
      </c>
      <c r="Q16" s="206" t="s">
        <v>72</v>
      </c>
      <c r="R16" s="207" t="s">
        <v>71</v>
      </c>
      <c r="S16" s="97" t="s">
        <v>70</v>
      </c>
      <c r="T16" s="206" t="s">
        <v>69</v>
      </c>
      <c r="U16" s="95" t="s">
        <v>68</v>
      </c>
    </row>
    <row r="17" spans="2:23" ht="20.100000000000001" customHeight="1" thickTop="1">
      <c r="B17" s="521" t="s">
        <v>92</v>
      </c>
      <c r="C17" s="522" t="s">
        <v>91</v>
      </c>
      <c r="D17" s="94">
        <v>6116001</v>
      </c>
      <c r="E17" s="524" t="s">
        <v>90</v>
      </c>
      <c r="F17" s="525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70000</v>
      </c>
      <c r="Q17" s="87">
        <v>70000</v>
      </c>
      <c r="R17" s="86">
        <v>60000</v>
      </c>
      <c r="S17" s="85"/>
      <c r="T17" s="84"/>
      <c r="U17" s="83"/>
    </row>
    <row r="18" spans="2:23" ht="20.100000000000001" customHeight="1">
      <c r="B18" s="469"/>
      <c r="C18" s="523"/>
      <c r="D18" s="76">
        <v>6116003</v>
      </c>
      <c r="E18" s="514" t="s">
        <v>89</v>
      </c>
      <c r="F18" s="51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69"/>
      <c r="C19" s="523"/>
      <c r="D19" s="76">
        <v>6116004</v>
      </c>
      <c r="E19" s="514" t="s">
        <v>88</v>
      </c>
      <c r="F19" s="51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69"/>
      <c r="C20" s="523"/>
      <c r="D20" s="76">
        <v>6116005</v>
      </c>
      <c r="E20" s="514" t="s">
        <v>87</v>
      </c>
      <c r="F20" s="51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69"/>
      <c r="C21" s="523"/>
      <c r="D21" s="76">
        <v>6116006</v>
      </c>
      <c r="E21" s="514" t="s">
        <v>86</v>
      </c>
      <c r="F21" s="515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5500</v>
      </c>
      <c r="P21" s="68">
        <v>5470</v>
      </c>
      <c r="Q21" s="70">
        <v>101998</v>
      </c>
      <c r="R21" s="69">
        <v>108450</v>
      </c>
      <c r="S21" s="68">
        <v>80670</v>
      </c>
      <c r="T21" s="67">
        <v>5470</v>
      </c>
      <c r="U21" s="66"/>
    </row>
    <row r="22" spans="2:23" ht="20.100000000000001" customHeight="1">
      <c r="B22" s="469"/>
      <c r="C22" s="523"/>
      <c r="D22" s="76">
        <v>6116008</v>
      </c>
      <c r="E22" s="514" t="s">
        <v>85</v>
      </c>
      <c r="F22" s="515"/>
      <c r="G22" s="79">
        <f t="shared" si="2"/>
        <v>277000</v>
      </c>
      <c r="H22" s="78">
        <f t="shared" si="3"/>
        <v>190485</v>
      </c>
      <c r="I22" s="77">
        <f t="shared" si="4"/>
        <v>86515</v>
      </c>
      <c r="J22" s="68">
        <v>0</v>
      </c>
      <c r="K22" s="70">
        <v>17641</v>
      </c>
      <c r="L22" s="72">
        <v>152108</v>
      </c>
      <c r="M22" s="176">
        <v>5294</v>
      </c>
      <c r="N22" s="80">
        <v>11677</v>
      </c>
      <c r="O22" s="69">
        <v>3765</v>
      </c>
      <c r="P22" s="68">
        <v>7742</v>
      </c>
      <c r="Q22" s="177">
        <v>11032</v>
      </c>
      <c r="R22" s="69">
        <v>3177</v>
      </c>
      <c r="S22" s="181">
        <v>55811</v>
      </c>
      <c r="T22" s="182">
        <v>5577</v>
      </c>
      <c r="U22" s="220">
        <v>3176</v>
      </c>
    </row>
    <row r="23" spans="2:23" ht="20.100000000000001" customHeight="1">
      <c r="B23" s="469"/>
      <c r="C23" s="523"/>
      <c r="D23" s="76">
        <v>6116017</v>
      </c>
      <c r="E23" s="514" t="s">
        <v>84</v>
      </c>
      <c r="F23" s="51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69"/>
      <c r="C24" s="523"/>
      <c r="D24" s="76">
        <v>6116023</v>
      </c>
      <c r="E24" s="516" t="s">
        <v>83</v>
      </c>
      <c r="F24" s="51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69"/>
      <c r="C25" s="523"/>
      <c r="D25" s="518" t="s">
        <v>82</v>
      </c>
      <c r="E25" s="519"/>
      <c r="F25" s="520"/>
      <c r="G25" s="64">
        <f t="shared" ref="G25:U25" si="5">SUM(G17:G24)</f>
        <v>2400000</v>
      </c>
      <c r="H25" s="63">
        <f t="shared" si="5"/>
        <v>1792427</v>
      </c>
      <c r="I25" s="62">
        <f t="shared" si="5"/>
        <v>607573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557736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183030</v>
      </c>
      <c r="R25" s="60">
        <f t="shared" si="5"/>
        <v>171627</v>
      </c>
      <c r="S25" s="59">
        <f t="shared" si="5"/>
        <v>136481</v>
      </c>
      <c r="T25" s="58">
        <f t="shared" si="5"/>
        <v>11047</v>
      </c>
      <c r="U25" s="57">
        <f t="shared" si="5"/>
        <v>3176</v>
      </c>
    </row>
    <row r="26" spans="2:23" ht="20.399999999999999" customHeight="1">
      <c r="B26" s="511" t="s">
        <v>81</v>
      </c>
      <c r="C26" s="512"/>
      <c r="D26" s="512"/>
      <c r="E26" s="512"/>
      <c r="F26" s="513"/>
      <c r="G26" s="56">
        <f t="shared" ref="G26:U26" si="6">G25</f>
        <v>2400000</v>
      </c>
      <c r="H26" s="53">
        <f t="shared" si="6"/>
        <v>1792427</v>
      </c>
      <c r="I26" s="51">
        <f t="shared" si="6"/>
        <v>607573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557736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183030</v>
      </c>
      <c r="R26" s="54">
        <f t="shared" si="6"/>
        <v>171627</v>
      </c>
      <c r="S26" s="53">
        <f t="shared" si="6"/>
        <v>136481</v>
      </c>
      <c r="T26" s="52">
        <f t="shared" si="6"/>
        <v>11047</v>
      </c>
      <c r="U26" s="51">
        <f t="shared" si="6"/>
        <v>3176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C472-4B48-4243-876E-CA22C9AF34A6}">
  <dimension ref="B1:W29"/>
  <sheetViews>
    <sheetView zoomScale="81" zoomScaleNormal="81" workbookViewId="0">
      <selection activeCell="B2" sqref="B2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141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501" t="s">
        <v>101</v>
      </c>
      <c r="C11" s="502"/>
      <c r="D11" s="128" t="s">
        <v>98</v>
      </c>
      <c r="E11" s="97" t="s">
        <v>97</v>
      </c>
      <c r="F11" s="95" t="s">
        <v>96</v>
      </c>
      <c r="G11" s="97" t="s">
        <v>95</v>
      </c>
      <c r="H11" s="217" t="s">
        <v>94</v>
      </c>
      <c r="I11" s="217" t="s">
        <v>93</v>
      </c>
      <c r="J11" s="217" t="s">
        <v>76</v>
      </c>
      <c r="K11" s="217" t="s">
        <v>75</v>
      </c>
      <c r="L11" s="95" t="s">
        <v>74</v>
      </c>
      <c r="M11" s="97" t="s">
        <v>73</v>
      </c>
      <c r="N11" s="217" t="s">
        <v>72</v>
      </c>
      <c r="O11" s="217" t="s">
        <v>71</v>
      </c>
      <c r="P11" s="217" t="s">
        <v>70</v>
      </c>
      <c r="Q11" s="217" t="s">
        <v>69</v>
      </c>
      <c r="R11" s="95" t="s">
        <v>68</v>
      </c>
      <c r="S11" s="503" t="s">
        <v>106</v>
      </c>
      <c r="T11" s="503"/>
      <c r="U11" s="504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1794417</v>
      </c>
      <c r="F12" s="123">
        <f>SUM(M12:R12)</f>
        <v>605583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559726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180675</v>
      </c>
      <c r="O12" s="121">
        <f t="shared" si="0"/>
        <v>171627</v>
      </c>
      <c r="P12" s="121">
        <f t="shared" si="0"/>
        <v>112610</v>
      </c>
      <c r="Q12" s="121">
        <f t="shared" si="0"/>
        <v>38459</v>
      </c>
      <c r="R12" s="120">
        <f t="shared" si="0"/>
        <v>0</v>
      </c>
      <c r="S12" s="505"/>
      <c r="T12" s="505"/>
      <c r="U12" s="506"/>
    </row>
    <row r="13" spans="2:22" ht="20.100000000000001" customHeight="1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1794417</v>
      </c>
      <c r="F13" s="115">
        <f>SUM(M13:R13)</f>
        <v>605583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559726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180675</v>
      </c>
      <c r="O13" s="110">
        <f t="shared" si="1"/>
        <v>171627</v>
      </c>
      <c r="P13" s="110">
        <f t="shared" si="1"/>
        <v>112610</v>
      </c>
      <c r="Q13" s="110">
        <f t="shared" si="1"/>
        <v>38459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7" t="s">
        <v>101</v>
      </c>
      <c r="C16" s="508"/>
      <c r="D16" s="217" t="s">
        <v>100</v>
      </c>
      <c r="E16" s="509" t="s">
        <v>99</v>
      </c>
      <c r="F16" s="510"/>
      <c r="G16" s="100" t="s">
        <v>98</v>
      </c>
      <c r="H16" s="97" t="s">
        <v>97</v>
      </c>
      <c r="I16" s="95" t="s">
        <v>96</v>
      </c>
      <c r="J16" s="97" t="s">
        <v>95</v>
      </c>
      <c r="K16" s="217" t="s">
        <v>94</v>
      </c>
      <c r="L16" s="95" t="s">
        <v>93</v>
      </c>
      <c r="M16" s="99" t="s">
        <v>76</v>
      </c>
      <c r="N16" s="217" t="s">
        <v>75</v>
      </c>
      <c r="O16" s="218" t="s">
        <v>74</v>
      </c>
      <c r="P16" s="97" t="s">
        <v>73</v>
      </c>
      <c r="Q16" s="217" t="s">
        <v>72</v>
      </c>
      <c r="R16" s="218" t="s">
        <v>71</v>
      </c>
      <c r="S16" s="97" t="s">
        <v>70</v>
      </c>
      <c r="T16" s="217" t="s">
        <v>69</v>
      </c>
      <c r="U16" s="95" t="s">
        <v>68</v>
      </c>
    </row>
    <row r="17" spans="2:23" ht="20.100000000000001" customHeight="1" thickTop="1">
      <c r="B17" s="521" t="s">
        <v>92</v>
      </c>
      <c r="C17" s="522" t="s">
        <v>91</v>
      </c>
      <c r="D17" s="94">
        <v>6116001</v>
      </c>
      <c r="E17" s="524" t="s">
        <v>90</v>
      </c>
      <c r="F17" s="525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173">
        <v>70000</v>
      </c>
      <c r="Q17" s="174">
        <v>70000</v>
      </c>
      <c r="R17" s="86">
        <v>60000</v>
      </c>
      <c r="S17" s="85"/>
      <c r="T17" s="84"/>
      <c r="U17" s="83"/>
    </row>
    <row r="18" spans="2:23" ht="20.100000000000001" customHeight="1">
      <c r="B18" s="469"/>
      <c r="C18" s="523"/>
      <c r="D18" s="76">
        <v>6116003</v>
      </c>
      <c r="E18" s="514" t="s">
        <v>89</v>
      </c>
      <c r="F18" s="51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69"/>
      <c r="C19" s="523"/>
      <c r="D19" s="76">
        <v>6116004</v>
      </c>
      <c r="E19" s="514" t="s">
        <v>88</v>
      </c>
      <c r="F19" s="51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69"/>
      <c r="C20" s="523"/>
      <c r="D20" s="76">
        <v>6116005</v>
      </c>
      <c r="E20" s="514" t="s">
        <v>87</v>
      </c>
      <c r="F20" s="51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69"/>
      <c r="C21" s="523"/>
      <c r="D21" s="76">
        <v>6116006</v>
      </c>
      <c r="E21" s="514" t="s">
        <v>86</v>
      </c>
      <c r="F21" s="515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177">
        <v>5500</v>
      </c>
      <c r="P21" s="181">
        <v>5470</v>
      </c>
      <c r="Q21" s="177">
        <v>101998</v>
      </c>
      <c r="R21" s="180">
        <v>108450</v>
      </c>
      <c r="S21" s="181">
        <v>80670</v>
      </c>
      <c r="T21" s="182">
        <v>5470</v>
      </c>
      <c r="U21" s="66"/>
    </row>
    <row r="22" spans="2:23" ht="20.100000000000001" customHeight="1">
      <c r="B22" s="469"/>
      <c r="C22" s="523"/>
      <c r="D22" s="76">
        <v>6116008</v>
      </c>
      <c r="E22" s="514" t="s">
        <v>85</v>
      </c>
      <c r="F22" s="515"/>
      <c r="G22" s="79">
        <f t="shared" si="2"/>
        <v>277000</v>
      </c>
      <c r="H22" s="78">
        <f t="shared" si="3"/>
        <v>192475</v>
      </c>
      <c r="I22" s="77">
        <f t="shared" si="4"/>
        <v>84525</v>
      </c>
      <c r="J22" s="68">
        <v>0</v>
      </c>
      <c r="K22" s="70">
        <v>17641</v>
      </c>
      <c r="L22" s="72">
        <v>152108</v>
      </c>
      <c r="M22" s="71">
        <v>7284</v>
      </c>
      <c r="N22" s="80">
        <v>11677</v>
      </c>
      <c r="O22" s="69">
        <v>3765</v>
      </c>
      <c r="P22" s="181">
        <v>7742</v>
      </c>
      <c r="Q22" s="177">
        <v>8677</v>
      </c>
      <c r="R22" s="180">
        <v>3177</v>
      </c>
      <c r="S22" s="181">
        <v>31940</v>
      </c>
      <c r="T22" s="182">
        <v>32989</v>
      </c>
      <c r="U22" s="66"/>
    </row>
    <row r="23" spans="2:23" ht="20.100000000000001" customHeight="1">
      <c r="B23" s="469"/>
      <c r="C23" s="523"/>
      <c r="D23" s="76">
        <v>6116017</v>
      </c>
      <c r="E23" s="514" t="s">
        <v>84</v>
      </c>
      <c r="F23" s="51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69"/>
      <c r="C24" s="523"/>
      <c r="D24" s="76">
        <v>6116023</v>
      </c>
      <c r="E24" s="516" t="s">
        <v>83</v>
      </c>
      <c r="F24" s="51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69"/>
      <c r="C25" s="523"/>
      <c r="D25" s="518" t="s">
        <v>82</v>
      </c>
      <c r="E25" s="519"/>
      <c r="F25" s="520"/>
      <c r="G25" s="64">
        <f t="shared" ref="G25:U25" si="5">SUM(G17:G24)</f>
        <v>2400000</v>
      </c>
      <c r="H25" s="63">
        <f t="shared" si="5"/>
        <v>1794417</v>
      </c>
      <c r="I25" s="62">
        <f t="shared" si="5"/>
        <v>605583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559726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180675</v>
      </c>
      <c r="R25" s="60">
        <f t="shared" si="5"/>
        <v>171627</v>
      </c>
      <c r="S25" s="59">
        <f t="shared" si="5"/>
        <v>112610</v>
      </c>
      <c r="T25" s="58">
        <f t="shared" si="5"/>
        <v>38459</v>
      </c>
      <c r="U25" s="57">
        <f t="shared" si="5"/>
        <v>0</v>
      </c>
    </row>
    <row r="26" spans="2:23" ht="20.399999999999999" customHeight="1">
      <c r="B26" s="511" t="s">
        <v>81</v>
      </c>
      <c r="C26" s="512"/>
      <c r="D26" s="512"/>
      <c r="E26" s="512"/>
      <c r="F26" s="513"/>
      <c r="G26" s="56">
        <f t="shared" ref="G26:U26" si="6">G25</f>
        <v>2400000</v>
      </c>
      <c r="H26" s="53">
        <f t="shared" si="6"/>
        <v>1794417</v>
      </c>
      <c r="I26" s="51">
        <f t="shared" si="6"/>
        <v>605583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559726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180675</v>
      </c>
      <c r="R26" s="54">
        <f t="shared" si="6"/>
        <v>171627</v>
      </c>
      <c r="S26" s="53">
        <f t="shared" si="6"/>
        <v>112610</v>
      </c>
      <c r="T26" s="52">
        <f t="shared" si="6"/>
        <v>38459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051C-08C9-40EA-8D02-A4A7C3E160F8}">
  <dimension ref="B1:U66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9.95" customHeight="1"/>
  <cols>
    <col min="1" max="1" width="1.69921875" style="246" customWidth="1"/>
    <col min="2" max="2" width="5.69921875" style="246" customWidth="1"/>
    <col min="3" max="4" width="8.69921875" style="246" customWidth="1"/>
    <col min="5" max="5" width="25.69921875" style="246" customWidth="1"/>
    <col min="6" max="17" width="8.69921875" style="246" customWidth="1"/>
    <col min="18" max="18" width="10.8984375" style="246" customWidth="1"/>
    <col min="19" max="19" width="8.796875" style="246"/>
    <col min="20" max="20" width="11.19921875" style="246" bestFit="1" customWidth="1"/>
    <col min="21" max="21" width="9.69921875" style="246" bestFit="1" customWidth="1"/>
    <col min="22" max="16384" width="8.796875" style="246"/>
  </cols>
  <sheetData>
    <row r="1" spans="2:18" s="234" customFormat="1" ht="10.050000000000001" customHeight="1"/>
    <row r="2" spans="2:18" s="236" customFormat="1" ht="30" customHeight="1">
      <c r="B2" s="235" t="s">
        <v>148</v>
      </c>
      <c r="C2" s="235"/>
      <c r="D2" s="235"/>
      <c r="E2" s="235"/>
      <c r="F2" s="235"/>
      <c r="R2" s="237" t="s">
        <v>149</v>
      </c>
    </row>
    <row r="3" spans="2:18" s="236" customFormat="1" ht="1.95" customHeight="1">
      <c r="B3" s="238"/>
      <c r="C3" s="238"/>
      <c r="D3" s="238"/>
      <c r="E3" s="238"/>
      <c r="F3" s="238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40"/>
    </row>
    <row r="4" spans="2:18" s="236" customFormat="1" ht="1.95" customHeight="1">
      <c r="B4" s="241"/>
      <c r="C4" s="241"/>
      <c r="D4" s="241"/>
      <c r="E4" s="241"/>
      <c r="F4" s="241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3"/>
    </row>
    <row r="5" spans="2:18" s="244" customFormat="1" ht="15" customHeight="1">
      <c r="B5" s="549" t="s">
        <v>150</v>
      </c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</row>
    <row r="6" spans="2:18" ht="15" customHeight="1">
      <c r="B6" s="245"/>
      <c r="C6" s="245"/>
      <c r="D6" s="245"/>
      <c r="E6" s="245"/>
      <c r="F6" s="245"/>
      <c r="R6" s="247" t="s">
        <v>151</v>
      </c>
    </row>
    <row r="7" spans="2:18" ht="19.95" customHeight="1">
      <c r="B7" s="550" t="s">
        <v>60</v>
      </c>
      <c r="C7" s="551"/>
      <c r="D7" s="551"/>
      <c r="E7" s="248" t="s">
        <v>79</v>
      </c>
      <c r="F7" s="249" t="s">
        <v>152</v>
      </c>
      <c r="G7" s="250" t="s">
        <v>78</v>
      </c>
      <c r="H7" s="251" t="s">
        <v>77</v>
      </c>
      <c r="I7" s="252" t="s">
        <v>76</v>
      </c>
      <c r="J7" s="250" t="s">
        <v>75</v>
      </c>
      <c r="K7" s="253" t="s">
        <v>74</v>
      </c>
      <c r="L7" s="254" t="s">
        <v>73</v>
      </c>
      <c r="M7" s="250" t="s">
        <v>72</v>
      </c>
      <c r="N7" s="251" t="s">
        <v>71</v>
      </c>
      <c r="O7" s="252" t="s">
        <v>70</v>
      </c>
      <c r="P7" s="250" t="s">
        <v>69</v>
      </c>
      <c r="Q7" s="253" t="s">
        <v>68</v>
      </c>
      <c r="R7" s="255" t="s">
        <v>98</v>
      </c>
    </row>
    <row r="8" spans="2:18" ht="19.95" customHeight="1">
      <c r="B8" s="550" t="s">
        <v>66</v>
      </c>
      <c r="C8" s="551"/>
      <c r="D8" s="551"/>
      <c r="E8" s="552"/>
      <c r="F8" s="254" t="s">
        <v>65</v>
      </c>
      <c r="G8" s="250"/>
      <c r="H8" s="251" t="s">
        <v>64</v>
      </c>
      <c r="I8" s="252"/>
      <c r="J8" s="250" t="s">
        <v>63</v>
      </c>
      <c r="K8" s="253"/>
      <c r="L8" s="254" t="s">
        <v>113</v>
      </c>
      <c r="M8" s="250" t="s">
        <v>113</v>
      </c>
      <c r="N8" s="251" t="s">
        <v>62</v>
      </c>
      <c r="O8" s="252"/>
      <c r="P8" s="250"/>
      <c r="Q8" s="253" t="s">
        <v>61</v>
      </c>
      <c r="R8" s="255"/>
    </row>
    <row r="9" spans="2:18" ht="19.95" customHeight="1">
      <c r="B9" s="553" t="s">
        <v>60</v>
      </c>
      <c r="C9" s="555" t="s">
        <v>24</v>
      </c>
      <c r="D9" s="256" t="s">
        <v>59</v>
      </c>
      <c r="E9" s="257" t="s">
        <v>112</v>
      </c>
      <c r="F9" s="258">
        <v>0</v>
      </c>
      <c r="G9" s="259"/>
      <c r="H9" s="260"/>
      <c r="I9" s="261"/>
      <c r="J9" s="262">
        <v>150000</v>
      </c>
      <c r="K9" s="263">
        <v>50000</v>
      </c>
      <c r="L9" s="264">
        <v>0</v>
      </c>
      <c r="M9" s="262">
        <v>0</v>
      </c>
      <c r="N9" s="260"/>
      <c r="O9" s="261">
        <v>0</v>
      </c>
      <c r="P9" s="259">
        <v>0</v>
      </c>
      <c r="Q9" s="265">
        <v>0</v>
      </c>
      <c r="R9" s="266">
        <f t="shared" ref="R9:R15" si="0">SUM(F9:Q9)</f>
        <v>200000</v>
      </c>
    </row>
    <row r="10" spans="2:18" ht="19.95" customHeight="1">
      <c r="B10" s="554"/>
      <c r="C10" s="556"/>
      <c r="D10" s="267" t="s">
        <v>58</v>
      </c>
      <c r="E10" s="268" t="s">
        <v>57</v>
      </c>
      <c r="F10" s="269">
        <v>0</v>
      </c>
      <c r="G10" s="270"/>
      <c r="H10" s="271">
        <v>300000</v>
      </c>
      <c r="I10" s="272">
        <v>340000</v>
      </c>
      <c r="J10" s="273">
        <v>340000</v>
      </c>
      <c r="K10" s="274">
        <v>70000</v>
      </c>
      <c r="L10" s="275">
        <v>70000</v>
      </c>
      <c r="M10" s="273">
        <v>70000</v>
      </c>
      <c r="N10" s="271">
        <v>60000</v>
      </c>
      <c r="O10" s="272"/>
      <c r="P10" s="270">
        <v>0</v>
      </c>
      <c r="Q10" s="276">
        <v>0</v>
      </c>
      <c r="R10" s="277">
        <f t="shared" si="0"/>
        <v>1250000</v>
      </c>
    </row>
    <row r="11" spans="2:18" ht="19.95" customHeight="1">
      <c r="B11" s="554"/>
      <c r="C11" s="556"/>
      <c r="D11" s="557" t="s">
        <v>153</v>
      </c>
      <c r="E11" s="557"/>
      <c r="F11" s="278">
        <f>F10</f>
        <v>0</v>
      </c>
      <c r="G11" s="279">
        <f>G10</f>
        <v>0</v>
      </c>
      <c r="H11" s="280">
        <f t="shared" ref="H11:Q11" si="1">SUM(H9:H10)</f>
        <v>300000</v>
      </c>
      <c r="I11" s="281">
        <f t="shared" si="1"/>
        <v>340000</v>
      </c>
      <c r="J11" s="279">
        <f t="shared" si="1"/>
        <v>490000</v>
      </c>
      <c r="K11" s="282">
        <f t="shared" si="1"/>
        <v>120000</v>
      </c>
      <c r="L11" s="278">
        <f t="shared" si="1"/>
        <v>70000</v>
      </c>
      <c r="M11" s="279">
        <f t="shared" si="1"/>
        <v>70000</v>
      </c>
      <c r="N11" s="280">
        <f t="shared" si="1"/>
        <v>60000</v>
      </c>
      <c r="O11" s="281">
        <f t="shared" si="1"/>
        <v>0</v>
      </c>
      <c r="P11" s="279">
        <f t="shared" si="1"/>
        <v>0</v>
      </c>
      <c r="Q11" s="282">
        <f t="shared" si="1"/>
        <v>0</v>
      </c>
      <c r="R11" s="283">
        <f>SUM(F11:Q11)</f>
        <v>1450000</v>
      </c>
    </row>
    <row r="12" spans="2:18" ht="19.95" customHeight="1">
      <c r="B12" s="554"/>
      <c r="C12" s="555" t="s">
        <v>21</v>
      </c>
      <c r="D12" s="256" t="s">
        <v>115</v>
      </c>
      <c r="E12" s="284"/>
      <c r="F12" s="258">
        <v>0</v>
      </c>
      <c r="G12" s="259"/>
      <c r="H12" s="260"/>
      <c r="I12" s="261">
        <v>168402</v>
      </c>
      <c r="J12" s="262">
        <v>87980</v>
      </c>
      <c r="K12" s="263"/>
      <c r="L12" s="264"/>
      <c r="M12" s="262">
        <v>86498</v>
      </c>
      <c r="N12" s="260">
        <v>92980</v>
      </c>
      <c r="O12" s="261">
        <v>72980</v>
      </c>
      <c r="P12" s="285">
        <v>200300</v>
      </c>
      <c r="Q12" s="286">
        <f>26972+199700</f>
        <v>226672</v>
      </c>
      <c r="R12" s="266">
        <f t="shared" si="0"/>
        <v>935812</v>
      </c>
    </row>
    <row r="13" spans="2:18" ht="19.95" customHeight="1">
      <c r="B13" s="554"/>
      <c r="C13" s="556"/>
      <c r="D13" s="287" t="s">
        <v>154</v>
      </c>
      <c r="E13" s="288"/>
      <c r="F13" s="278">
        <v>0</v>
      </c>
      <c r="G13" s="279"/>
      <c r="H13" s="289"/>
      <c r="I13" s="290">
        <v>30000</v>
      </c>
      <c r="J13" s="291">
        <v>20000</v>
      </c>
      <c r="K13" s="292"/>
      <c r="L13" s="293"/>
      <c r="M13" s="291">
        <v>10000</v>
      </c>
      <c r="N13" s="289">
        <v>10000</v>
      </c>
      <c r="O13" s="290">
        <v>2190</v>
      </c>
      <c r="P13" s="279"/>
      <c r="Q13" s="282"/>
      <c r="R13" s="283">
        <f t="shared" si="0"/>
        <v>72190</v>
      </c>
    </row>
    <row r="14" spans="2:18" ht="19.95" customHeight="1">
      <c r="B14" s="554"/>
      <c r="C14" s="556"/>
      <c r="D14" s="294" t="s">
        <v>155</v>
      </c>
      <c r="E14" s="295" t="s">
        <v>156</v>
      </c>
      <c r="F14" s="296">
        <v>0</v>
      </c>
      <c r="G14" s="297"/>
      <c r="H14" s="298"/>
      <c r="I14" s="299">
        <v>2060</v>
      </c>
      <c r="J14" s="300">
        <v>1030</v>
      </c>
      <c r="K14" s="301">
        <v>500</v>
      </c>
      <c r="L14" s="302">
        <v>1030</v>
      </c>
      <c r="M14" s="300">
        <v>500</v>
      </c>
      <c r="N14" s="298">
        <v>1030</v>
      </c>
      <c r="O14" s="299">
        <v>500</v>
      </c>
      <c r="P14" s="297">
        <v>1030</v>
      </c>
      <c r="Q14" s="303"/>
      <c r="R14" s="304">
        <f t="shared" si="0"/>
        <v>7680</v>
      </c>
    </row>
    <row r="15" spans="2:18" ht="19.95" customHeight="1">
      <c r="B15" s="554"/>
      <c r="C15" s="556"/>
      <c r="D15" s="267" t="s">
        <v>155</v>
      </c>
      <c r="E15" s="268" t="s">
        <v>49</v>
      </c>
      <c r="F15" s="269">
        <v>0</v>
      </c>
      <c r="G15" s="270"/>
      <c r="H15" s="271"/>
      <c r="I15" s="272">
        <v>11980</v>
      </c>
      <c r="J15" s="273">
        <v>5990</v>
      </c>
      <c r="K15" s="274">
        <v>5000</v>
      </c>
      <c r="L15" s="275">
        <v>4440</v>
      </c>
      <c r="M15" s="273">
        <v>5000</v>
      </c>
      <c r="N15" s="271">
        <v>4440</v>
      </c>
      <c r="O15" s="272">
        <v>5000</v>
      </c>
      <c r="P15" s="270">
        <v>4440</v>
      </c>
      <c r="Q15" s="276"/>
      <c r="R15" s="277">
        <f t="shared" si="0"/>
        <v>46290</v>
      </c>
    </row>
    <row r="16" spans="2:18" ht="19.95" customHeight="1">
      <c r="B16" s="554"/>
      <c r="C16" s="558"/>
      <c r="D16" s="526" t="s">
        <v>153</v>
      </c>
      <c r="E16" s="527"/>
      <c r="F16" s="305">
        <f t="shared" ref="F16:O16" si="2">SUM(F12:F15)</f>
        <v>0</v>
      </c>
      <c r="G16" s="306">
        <f t="shared" si="2"/>
        <v>0</v>
      </c>
      <c r="H16" s="307">
        <f t="shared" si="2"/>
        <v>0</v>
      </c>
      <c r="I16" s="308">
        <f t="shared" si="2"/>
        <v>212442</v>
      </c>
      <c r="J16" s="306">
        <f t="shared" si="2"/>
        <v>115000</v>
      </c>
      <c r="K16" s="309">
        <f t="shared" si="2"/>
        <v>5500</v>
      </c>
      <c r="L16" s="305">
        <f t="shared" si="2"/>
        <v>5470</v>
      </c>
      <c r="M16" s="306">
        <f t="shared" si="2"/>
        <v>101998</v>
      </c>
      <c r="N16" s="307">
        <f t="shared" si="2"/>
        <v>108450</v>
      </c>
      <c r="O16" s="308">
        <f t="shared" si="2"/>
        <v>80670</v>
      </c>
      <c r="P16" s="306">
        <f>SUM(P12:P15)</f>
        <v>205770</v>
      </c>
      <c r="Q16" s="309">
        <f>SUM(Q12:Q15)</f>
        <v>226672</v>
      </c>
      <c r="R16" s="310">
        <f>SUM(R12:R15)</f>
        <v>1061972</v>
      </c>
    </row>
    <row r="17" spans="2:21" ht="19.95" customHeight="1">
      <c r="B17" s="554"/>
      <c r="C17" s="556" t="s">
        <v>45</v>
      </c>
      <c r="D17" s="311" t="s">
        <v>45</v>
      </c>
      <c r="E17" s="312" t="s">
        <v>157</v>
      </c>
      <c r="F17" s="313">
        <v>0</v>
      </c>
      <c r="G17" s="314">
        <v>0</v>
      </c>
      <c r="H17" s="315">
        <v>0</v>
      </c>
      <c r="I17" s="316"/>
      <c r="J17" s="314"/>
      <c r="K17" s="317">
        <v>19000</v>
      </c>
      <c r="L17" s="313">
        <v>19000</v>
      </c>
      <c r="M17" s="314"/>
      <c r="N17" s="315"/>
      <c r="O17" s="316"/>
      <c r="P17" s="314">
        <v>0</v>
      </c>
      <c r="Q17" s="317">
        <v>0</v>
      </c>
      <c r="R17" s="318">
        <f t="shared" ref="R17" si="3">SUM(F17:Q17)</f>
        <v>38000</v>
      </c>
    </row>
    <row r="18" spans="2:21" ht="19.95" customHeight="1">
      <c r="B18" s="554"/>
      <c r="C18" s="558"/>
      <c r="D18" s="526" t="s">
        <v>153</v>
      </c>
      <c r="E18" s="527"/>
      <c r="F18" s="305">
        <f t="shared" ref="F18:Q18" si="4">SUM(F17:F17)</f>
        <v>0</v>
      </c>
      <c r="G18" s="306">
        <f t="shared" si="4"/>
        <v>0</v>
      </c>
      <c r="H18" s="307">
        <f t="shared" si="4"/>
        <v>0</v>
      </c>
      <c r="I18" s="308">
        <f t="shared" si="4"/>
        <v>0</v>
      </c>
      <c r="J18" s="306">
        <f t="shared" si="4"/>
        <v>0</v>
      </c>
      <c r="K18" s="309">
        <f t="shared" si="4"/>
        <v>19000</v>
      </c>
      <c r="L18" s="305">
        <f t="shared" si="4"/>
        <v>19000</v>
      </c>
      <c r="M18" s="306">
        <f t="shared" si="4"/>
        <v>0</v>
      </c>
      <c r="N18" s="307">
        <f t="shared" si="4"/>
        <v>0</v>
      </c>
      <c r="O18" s="308">
        <f t="shared" si="4"/>
        <v>0</v>
      </c>
      <c r="P18" s="306">
        <f t="shared" si="4"/>
        <v>0</v>
      </c>
      <c r="Q18" s="309">
        <f t="shared" si="4"/>
        <v>0</v>
      </c>
      <c r="R18" s="310">
        <f>SUM(R17:R17)</f>
        <v>38000</v>
      </c>
    </row>
    <row r="19" spans="2:21" ht="19.95" customHeight="1">
      <c r="B19" s="530"/>
      <c r="C19" s="526" t="s">
        <v>158</v>
      </c>
      <c r="D19" s="527"/>
      <c r="E19" s="527"/>
      <c r="F19" s="305">
        <f>SUM(F11,F16,F18)</f>
        <v>0</v>
      </c>
      <c r="G19" s="306">
        <f t="shared" ref="G19:R19" si="5">SUM(G11,G16,G18)</f>
        <v>0</v>
      </c>
      <c r="H19" s="307">
        <f t="shared" si="5"/>
        <v>300000</v>
      </c>
      <c r="I19" s="308">
        <f t="shared" si="5"/>
        <v>552442</v>
      </c>
      <c r="J19" s="306">
        <f t="shared" si="5"/>
        <v>605000</v>
      </c>
      <c r="K19" s="309">
        <f t="shared" si="5"/>
        <v>144500</v>
      </c>
      <c r="L19" s="305">
        <f t="shared" si="5"/>
        <v>94470</v>
      </c>
      <c r="M19" s="306">
        <f t="shared" si="5"/>
        <v>171998</v>
      </c>
      <c r="N19" s="307">
        <f t="shared" si="5"/>
        <v>168450</v>
      </c>
      <c r="O19" s="308">
        <f t="shared" si="5"/>
        <v>80670</v>
      </c>
      <c r="P19" s="306">
        <f t="shared" si="5"/>
        <v>205770</v>
      </c>
      <c r="Q19" s="309">
        <f t="shared" si="5"/>
        <v>226672</v>
      </c>
      <c r="R19" s="310">
        <f t="shared" si="5"/>
        <v>2549972</v>
      </c>
      <c r="T19" s="319"/>
      <c r="U19" s="319"/>
    </row>
    <row r="20" spans="2:21" ht="19.95" customHeight="1">
      <c r="B20" s="535" t="s">
        <v>17</v>
      </c>
      <c r="C20" s="538" t="s">
        <v>24</v>
      </c>
      <c r="D20" s="256" t="s">
        <v>23</v>
      </c>
      <c r="E20" s="284" t="s">
        <v>159</v>
      </c>
      <c r="F20" s="258">
        <v>0</v>
      </c>
      <c r="G20" s="259">
        <v>5170</v>
      </c>
      <c r="H20" s="320"/>
      <c r="I20" s="321">
        <v>0</v>
      </c>
      <c r="J20" s="259">
        <v>0</v>
      </c>
      <c r="K20" s="265">
        <v>0</v>
      </c>
      <c r="L20" s="258">
        <v>0</v>
      </c>
      <c r="M20" s="259">
        <v>0</v>
      </c>
      <c r="N20" s="320">
        <v>0</v>
      </c>
      <c r="O20" s="321">
        <v>0</v>
      </c>
      <c r="P20" s="259">
        <v>0</v>
      </c>
      <c r="Q20" s="265"/>
      <c r="R20" s="266">
        <f t="shared" ref="R20:R32" si="6">SUM(F20:Q20)</f>
        <v>5170</v>
      </c>
    </row>
    <row r="21" spans="2:21" ht="19.95" customHeight="1">
      <c r="B21" s="536"/>
      <c r="C21" s="539"/>
      <c r="D21" s="322" t="s">
        <v>17</v>
      </c>
      <c r="E21" s="323" t="s">
        <v>160</v>
      </c>
      <c r="F21" s="324">
        <v>0</v>
      </c>
      <c r="G21" s="325">
        <v>12470.900000000001</v>
      </c>
      <c r="H21" s="326">
        <v>141180</v>
      </c>
      <c r="I21" s="327">
        <v>1764.7500000000002</v>
      </c>
      <c r="J21" s="325">
        <v>8235.5</v>
      </c>
      <c r="K21" s="328"/>
      <c r="L21" s="329">
        <v>2200</v>
      </c>
      <c r="M21" s="330">
        <v>1650</v>
      </c>
      <c r="N21" s="331"/>
      <c r="O21" s="332"/>
      <c r="P21" s="330"/>
      <c r="Q21" s="333"/>
      <c r="R21" s="334">
        <f t="shared" si="6"/>
        <v>167501.15</v>
      </c>
      <c r="U21" s="319"/>
    </row>
    <row r="22" spans="2:21" ht="19.95" customHeight="1">
      <c r="B22" s="536"/>
      <c r="C22" s="538" t="s">
        <v>21</v>
      </c>
      <c r="D22" s="543" t="s">
        <v>20</v>
      </c>
      <c r="E22" s="257" t="s">
        <v>161</v>
      </c>
      <c r="F22" s="258">
        <v>0</v>
      </c>
      <c r="G22" s="262"/>
      <c r="H22" s="260"/>
      <c r="I22" s="261"/>
      <c r="J22" s="262">
        <v>0</v>
      </c>
      <c r="K22" s="263"/>
      <c r="L22" s="264"/>
      <c r="M22" s="262"/>
      <c r="N22" s="260">
        <v>0</v>
      </c>
      <c r="O22" s="321"/>
      <c r="P22" s="259"/>
      <c r="Q22" s="265"/>
      <c r="R22" s="266">
        <f t="shared" si="6"/>
        <v>0</v>
      </c>
    </row>
    <row r="23" spans="2:21" ht="19.95" customHeight="1">
      <c r="B23" s="536"/>
      <c r="C23" s="540"/>
      <c r="D23" s="544"/>
      <c r="E23" s="335" t="s">
        <v>162</v>
      </c>
      <c r="F23" s="336">
        <v>0</v>
      </c>
      <c r="G23" s="337"/>
      <c r="H23" s="338"/>
      <c r="I23" s="339"/>
      <c r="J23" s="337"/>
      <c r="K23" s="340"/>
      <c r="L23" s="341">
        <v>0</v>
      </c>
      <c r="M23" s="337"/>
      <c r="N23" s="338"/>
      <c r="O23" s="342"/>
      <c r="P23" s="343">
        <v>11471</v>
      </c>
      <c r="Q23" s="344">
        <v>11471</v>
      </c>
      <c r="R23" s="304">
        <f t="shared" si="6"/>
        <v>22942</v>
      </c>
    </row>
    <row r="24" spans="2:21" ht="19.95" customHeight="1">
      <c r="B24" s="536"/>
      <c r="C24" s="541"/>
      <c r="D24" s="545"/>
      <c r="E24" s="345" t="s">
        <v>163</v>
      </c>
      <c r="F24" s="296"/>
      <c r="G24" s="300"/>
      <c r="H24" s="298">
        <v>3176.55</v>
      </c>
      <c r="I24" s="299">
        <v>3529.5000000000005</v>
      </c>
      <c r="J24" s="300">
        <v>3176.55</v>
      </c>
      <c r="K24" s="301">
        <v>3176.55</v>
      </c>
      <c r="L24" s="302">
        <v>0</v>
      </c>
      <c r="M24" s="300">
        <v>3176.55</v>
      </c>
      <c r="N24" s="298">
        <v>3176.55</v>
      </c>
      <c r="O24" s="298">
        <v>3176.55</v>
      </c>
      <c r="P24" s="298">
        <v>3176.55</v>
      </c>
      <c r="Q24" s="298">
        <v>3176.55</v>
      </c>
      <c r="R24" s="304">
        <f t="shared" si="6"/>
        <v>28941.899999999998</v>
      </c>
      <c r="T24" s="319"/>
    </row>
    <row r="25" spans="2:21" ht="19.95" customHeight="1">
      <c r="B25" s="536"/>
      <c r="C25" s="541"/>
      <c r="D25" s="346" t="s">
        <v>12</v>
      </c>
      <c r="E25" s="345" t="s">
        <v>164</v>
      </c>
      <c r="F25" s="296">
        <v>0</v>
      </c>
      <c r="G25" s="297"/>
      <c r="H25" s="347">
        <v>1058.8500000000001</v>
      </c>
      <c r="I25" s="348"/>
      <c r="J25" s="300"/>
      <c r="K25" s="301">
        <v>588.25</v>
      </c>
      <c r="L25" s="302">
        <v>611.78000000000009</v>
      </c>
      <c r="M25" s="349">
        <v>706</v>
      </c>
      <c r="N25" s="347"/>
      <c r="O25" s="342"/>
      <c r="P25" s="350">
        <v>1100</v>
      </c>
      <c r="Q25" s="303">
        <v>0</v>
      </c>
      <c r="R25" s="304">
        <f t="shared" si="6"/>
        <v>4064.88</v>
      </c>
      <c r="T25" s="319"/>
    </row>
    <row r="26" spans="2:21" ht="19.95" customHeight="1">
      <c r="B26" s="536"/>
      <c r="C26" s="542"/>
      <c r="D26" s="351" t="s">
        <v>165</v>
      </c>
      <c r="E26" s="352" t="s">
        <v>166</v>
      </c>
      <c r="F26" s="353">
        <v>0</v>
      </c>
      <c r="G26" s="273"/>
      <c r="H26" s="271">
        <v>352.95000000000005</v>
      </c>
      <c r="I26" s="272"/>
      <c r="J26" s="273"/>
      <c r="K26" s="274"/>
      <c r="L26" s="275"/>
      <c r="M26" s="270">
        <v>5500</v>
      </c>
      <c r="N26" s="271"/>
      <c r="O26" s="272"/>
      <c r="P26" s="354"/>
      <c r="Q26" s="276">
        <v>0</v>
      </c>
      <c r="R26" s="277">
        <f t="shared" si="6"/>
        <v>5852.95</v>
      </c>
      <c r="T26" s="319"/>
    </row>
    <row r="27" spans="2:21" ht="19.95" customHeight="1">
      <c r="B27" s="536"/>
      <c r="C27" s="540" t="s">
        <v>13</v>
      </c>
      <c r="D27" s="544" t="s">
        <v>12</v>
      </c>
      <c r="E27" s="335" t="s">
        <v>11</v>
      </c>
      <c r="F27" s="336">
        <v>0</v>
      </c>
      <c r="G27" s="337"/>
      <c r="H27" s="338"/>
      <c r="I27" s="261"/>
      <c r="J27" s="337"/>
      <c r="K27" s="340"/>
      <c r="L27" s="341">
        <v>0</v>
      </c>
      <c r="M27" s="337"/>
      <c r="N27" s="338"/>
      <c r="O27" s="339"/>
      <c r="P27" s="355"/>
      <c r="Q27" s="356"/>
      <c r="R27" s="357">
        <f t="shared" si="6"/>
        <v>0</v>
      </c>
      <c r="T27" s="358"/>
    </row>
    <row r="28" spans="2:21" ht="19.95" customHeight="1">
      <c r="B28" s="536"/>
      <c r="C28" s="539"/>
      <c r="D28" s="546"/>
      <c r="E28" s="359" t="s">
        <v>167</v>
      </c>
      <c r="F28" s="324">
        <v>0</v>
      </c>
      <c r="G28" s="330"/>
      <c r="H28" s="360">
        <v>4570</v>
      </c>
      <c r="I28" s="361"/>
      <c r="J28" s="325"/>
      <c r="K28" s="328"/>
      <c r="L28" s="329">
        <v>1880</v>
      </c>
      <c r="M28" s="325"/>
      <c r="N28" s="326"/>
      <c r="O28" s="327">
        <v>0</v>
      </c>
      <c r="P28" s="325">
        <v>0</v>
      </c>
      <c r="Q28" s="333">
        <v>0</v>
      </c>
      <c r="R28" s="334">
        <f t="shared" si="6"/>
        <v>6450</v>
      </c>
      <c r="T28" s="319"/>
      <c r="U28" s="319"/>
    </row>
    <row r="29" spans="2:21" ht="19.95" customHeight="1">
      <c r="B29" s="536"/>
      <c r="C29" s="538" t="s">
        <v>8</v>
      </c>
      <c r="D29" s="362" t="s">
        <v>7</v>
      </c>
      <c r="E29" s="257" t="s">
        <v>6</v>
      </c>
      <c r="F29" s="258">
        <v>0</v>
      </c>
      <c r="G29" s="259"/>
      <c r="H29" s="260">
        <v>0</v>
      </c>
      <c r="I29" s="261">
        <v>0</v>
      </c>
      <c r="J29" s="262">
        <v>0</v>
      </c>
      <c r="K29" s="363">
        <v>0</v>
      </c>
      <c r="L29" s="364">
        <v>0</v>
      </c>
      <c r="M29" s="365">
        <v>0</v>
      </c>
      <c r="N29" s="366">
        <v>0</v>
      </c>
      <c r="O29" s="261">
        <v>0</v>
      </c>
      <c r="P29" s="365">
        <v>0</v>
      </c>
      <c r="Q29" s="265">
        <v>0</v>
      </c>
      <c r="R29" s="266">
        <f t="shared" si="6"/>
        <v>0</v>
      </c>
      <c r="T29" s="367"/>
    </row>
    <row r="30" spans="2:21" ht="19.95" customHeight="1">
      <c r="B30" s="536"/>
      <c r="C30" s="541"/>
      <c r="D30" s="547" t="s">
        <v>5</v>
      </c>
      <c r="E30" s="345" t="s">
        <v>168</v>
      </c>
      <c r="F30" s="296">
        <v>0</v>
      </c>
      <c r="G30" s="297"/>
      <c r="H30" s="298">
        <v>1740</v>
      </c>
      <c r="I30" s="299"/>
      <c r="J30" s="300">
        <v>235.3</v>
      </c>
      <c r="K30" s="368">
        <v>0</v>
      </c>
      <c r="L30" s="369">
        <v>3000</v>
      </c>
      <c r="M30" s="300"/>
      <c r="N30" s="370">
        <v>0</v>
      </c>
      <c r="O30" s="299">
        <v>0</v>
      </c>
      <c r="P30" s="371">
        <v>1800</v>
      </c>
      <c r="Q30" s="372">
        <v>1800</v>
      </c>
      <c r="R30" s="304">
        <f t="shared" si="6"/>
        <v>8575.2999999999993</v>
      </c>
      <c r="T30" s="319"/>
    </row>
    <row r="31" spans="2:21" ht="19.95" customHeight="1">
      <c r="B31" s="536"/>
      <c r="C31" s="541"/>
      <c r="D31" s="547"/>
      <c r="E31" s="345" t="s">
        <v>169</v>
      </c>
      <c r="F31" s="296">
        <v>0</v>
      </c>
      <c r="G31" s="297"/>
      <c r="H31" s="347">
        <v>30</v>
      </c>
      <c r="I31" s="348"/>
      <c r="J31" s="297">
        <v>30</v>
      </c>
      <c r="K31" s="373"/>
      <c r="L31" s="296">
        <v>50</v>
      </c>
      <c r="M31" s="374"/>
      <c r="N31" s="375"/>
      <c r="O31" s="348"/>
      <c r="P31" s="376"/>
      <c r="Q31" s="377"/>
      <c r="R31" s="304">
        <f>SUM(F31:Q31)</f>
        <v>110</v>
      </c>
      <c r="U31" s="319"/>
    </row>
    <row r="32" spans="2:21" ht="19.95" customHeight="1">
      <c r="B32" s="536"/>
      <c r="C32" s="542"/>
      <c r="D32" s="548"/>
      <c r="E32" s="352" t="s">
        <v>170</v>
      </c>
      <c r="F32" s="269">
        <v>0</v>
      </c>
      <c r="G32" s="270">
        <v>0</v>
      </c>
      <c r="H32" s="378"/>
      <c r="I32" s="379">
        <v>0</v>
      </c>
      <c r="J32" s="270">
        <v>0</v>
      </c>
      <c r="K32" s="380">
        <v>0</v>
      </c>
      <c r="L32" s="381"/>
      <c r="M32" s="382">
        <v>0</v>
      </c>
      <c r="N32" s="383">
        <v>0</v>
      </c>
      <c r="O32" s="379">
        <v>0</v>
      </c>
      <c r="P32" s="384">
        <v>210</v>
      </c>
      <c r="Q32" s="385">
        <v>210</v>
      </c>
      <c r="R32" s="277">
        <f t="shared" si="6"/>
        <v>420</v>
      </c>
    </row>
    <row r="33" spans="2:21" ht="19.95" customHeight="1">
      <c r="B33" s="537"/>
      <c r="C33" s="526" t="s">
        <v>171</v>
      </c>
      <c r="D33" s="527"/>
      <c r="E33" s="527"/>
      <c r="F33" s="305">
        <f>SUM(F20:F29)</f>
        <v>0</v>
      </c>
      <c r="G33" s="306">
        <f t="shared" ref="G33:O33" si="7">SUM(G20:G32)</f>
        <v>17640.900000000001</v>
      </c>
      <c r="H33" s="307">
        <f t="shared" si="7"/>
        <v>152108.35</v>
      </c>
      <c r="I33" s="308">
        <f t="shared" si="7"/>
        <v>5294.2500000000009</v>
      </c>
      <c r="J33" s="306">
        <f t="shared" si="7"/>
        <v>11677.349999999999</v>
      </c>
      <c r="K33" s="309">
        <f t="shared" si="7"/>
        <v>3764.8</v>
      </c>
      <c r="L33" s="305">
        <f t="shared" si="7"/>
        <v>7741.7800000000007</v>
      </c>
      <c r="M33" s="306">
        <f t="shared" si="7"/>
        <v>11032.55</v>
      </c>
      <c r="N33" s="307">
        <f t="shared" si="7"/>
        <v>3176.55</v>
      </c>
      <c r="O33" s="308">
        <f t="shared" si="7"/>
        <v>3176.55</v>
      </c>
      <c r="P33" s="306">
        <f>SUM(P20:P32)</f>
        <v>17757.55</v>
      </c>
      <c r="Q33" s="309">
        <f>SUM(Q20:Q32)</f>
        <v>16657.55</v>
      </c>
      <c r="R33" s="310">
        <f>SUM(R20:R32)</f>
        <v>250028.18</v>
      </c>
      <c r="U33" s="319"/>
    </row>
    <row r="34" spans="2:21" ht="19.95" customHeight="1">
      <c r="B34" s="530" t="s">
        <v>172</v>
      </c>
      <c r="C34" s="531"/>
      <c r="D34" s="531"/>
      <c r="E34" s="532"/>
      <c r="F34" s="386">
        <f>SUM(F19,F33)</f>
        <v>0</v>
      </c>
      <c r="G34" s="387">
        <f t="shared" ref="G34:O34" si="8">G19+G33</f>
        <v>17640.900000000001</v>
      </c>
      <c r="H34" s="388">
        <f t="shared" si="8"/>
        <v>452108.35</v>
      </c>
      <c r="I34" s="389">
        <f t="shared" si="8"/>
        <v>557736.25</v>
      </c>
      <c r="J34" s="387">
        <f t="shared" si="8"/>
        <v>616677.35</v>
      </c>
      <c r="K34" s="390">
        <f t="shared" si="8"/>
        <v>148264.79999999999</v>
      </c>
      <c r="L34" s="386">
        <f t="shared" si="8"/>
        <v>102211.78</v>
      </c>
      <c r="M34" s="387">
        <f t="shared" si="8"/>
        <v>183030.55</v>
      </c>
      <c r="N34" s="388">
        <f t="shared" si="8"/>
        <v>171626.55</v>
      </c>
      <c r="O34" s="389">
        <f t="shared" si="8"/>
        <v>83846.55</v>
      </c>
      <c r="P34" s="387">
        <f>SUM(P19,P33)</f>
        <v>223527.55</v>
      </c>
      <c r="Q34" s="390">
        <f>SUM(Q19,Q33)</f>
        <v>243329.55</v>
      </c>
      <c r="R34" s="391">
        <f>R19+R33</f>
        <v>2800000.18</v>
      </c>
      <c r="T34" s="319"/>
    </row>
    <row r="35" spans="2:21" ht="19.95" customHeight="1">
      <c r="B35" s="392" t="s">
        <v>173</v>
      </c>
      <c r="C35" s="393"/>
      <c r="D35" s="393"/>
      <c r="E35" s="393"/>
      <c r="F35" s="394"/>
      <c r="G35" s="394"/>
      <c r="H35" s="394"/>
      <c r="I35" s="394"/>
      <c r="J35" s="394"/>
      <c r="K35" s="394"/>
      <c r="L35" s="394"/>
      <c r="M35" s="394"/>
      <c r="N35" s="394"/>
      <c r="O35" s="394"/>
      <c r="P35" s="394"/>
      <c r="Q35" s="394"/>
      <c r="R35" s="394"/>
      <c r="T35" s="319"/>
    </row>
    <row r="36" spans="2:21" ht="19.95" customHeight="1">
      <c r="B36" s="395" t="s">
        <v>174</v>
      </c>
      <c r="C36" s="393"/>
      <c r="D36" s="393"/>
      <c r="E36" s="393"/>
      <c r="G36" s="394"/>
      <c r="H36" s="394"/>
      <c r="I36" s="394"/>
      <c r="J36" s="394"/>
      <c r="K36" s="394"/>
      <c r="L36" s="394"/>
      <c r="M36" s="394"/>
      <c r="N36" s="394"/>
      <c r="O36" s="394"/>
      <c r="P36" s="394"/>
      <c r="Q36" s="394"/>
      <c r="R36" s="394"/>
      <c r="T36" s="319"/>
    </row>
    <row r="37" spans="2:21" ht="19.95" customHeight="1">
      <c r="B37" s="395" t="s">
        <v>175</v>
      </c>
      <c r="C37" s="393"/>
      <c r="D37" s="393"/>
      <c r="E37" s="393"/>
      <c r="F37" s="395"/>
      <c r="G37" s="394"/>
      <c r="H37" s="394"/>
      <c r="I37" s="394"/>
      <c r="J37" s="394"/>
      <c r="K37" s="394"/>
      <c r="L37" s="394"/>
      <c r="M37" s="394"/>
      <c r="N37" s="394"/>
      <c r="O37" s="394"/>
      <c r="P37" s="394"/>
      <c r="Q37" s="394"/>
      <c r="R37" s="394"/>
      <c r="T37" s="319"/>
    </row>
    <row r="38" spans="2:21" ht="19.95" customHeight="1">
      <c r="B38" s="392" t="s">
        <v>176</v>
      </c>
      <c r="C38" s="393"/>
      <c r="D38" s="393"/>
      <c r="E38" s="393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T38" s="319"/>
    </row>
    <row r="39" spans="2:21" ht="19.95" customHeight="1">
      <c r="B39" s="396" t="s">
        <v>177</v>
      </c>
      <c r="C39" s="393"/>
      <c r="D39" s="393"/>
      <c r="E39" s="393"/>
      <c r="F39" s="394"/>
      <c r="G39" s="394"/>
      <c r="H39" s="394"/>
      <c r="I39" s="394"/>
      <c r="J39" s="394"/>
      <c r="K39" s="394"/>
      <c r="L39" s="394"/>
      <c r="M39" s="394"/>
      <c r="N39" s="394"/>
      <c r="O39" s="394"/>
      <c r="P39" s="394"/>
      <c r="Q39" s="394"/>
      <c r="R39" s="394"/>
      <c r="T39" s="319"/>
    </row>
    <row r="40" spans="2:21" ht="15" customHeight="1"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</row>
    <row r="41" spans="2:21" ht="19.95" customHeight="1">
      <c r="B41" s="398" t="s">
        <v>178</v>
      </c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247" t="s">
        <v>151</v>
      </c>
    </row>
    <row r="42" spans="2:21" ht="19.95" customHeight="1">
      <c r="B42" s="533" t="s">
        <v>60</v>
      </c>
      <c r="C42" s="534"/>
      <c r="D42" s="534"/>
      <c r="E42" s="400" t="s">
        <v>79</v>
      </c>
      <c r="F42" s="249" t="s">
        <v>152</v>
      </c>
      <c r="G42" s="401" t="s">
        <v>78</v>
      </c>
      <c r="H42" s="402" t="s">
        <v>77</v>
      </c>
      <c r="I42" s="403" t="s">
        <v>76</v>
      </c>
      <c r="J42" s="401" t="s">
        <v>75</v>
      </c>
      <c r="K42" s="404" t="s">
        <v>74</v>
      </c>
      <c r="L42" s="405" t="s">
        <v>73</v>
      </c>
      <c r="M42" s="401" t="s">
        <v>72</v>
      </c>
      <c r="N42" s="402" t="s">
        <v>71</v>
      </c>
      <c r="O42" s="403" t="s">
        <v>70</v>
      </c>
      <c r="P42" s="401" t="s">
        <v>69</v>
      </c>
      <c r="Q42" s="404" t="s">
        <v>68</v>
      </c>
      <c r="R42" s="406" t="s">
        <v>98</v>
      </c>
    </row>
    <row r="43" spans="2:21" ht="19.95" customHeight="1">
      <c r="B43" s="535" t="s">
        <v>17</v>
      </c>
      <c r="C43" s="538" t="s">
        <v>24</v>
      </c>
      <c r="D43" s="256" t="s">
        <v>23</v>
      </c>
      <c r="E43" s="407" t="s">
        <v>22</v>
      </c>
      <c r="F43" s="258">
        <v>0</v>
      </c>
      <c r="G43" s="408">
        <v>4700</v>
      </c>
      <c r="H43" s="320"/>
      <c r="I43" s="321">
        <v>0</v>
      </c>
      <c r="J43" s="259">
        <v>0</v>
      </c>
      <c r="K43" s="265">
        <v>0</v>
      </c>
      <c r="L43" s="258">
        <v>0</v>
      </c>
      <c r="M43" s="408">
        <v>0</v>
      </c>
      <c r="N43" s="320">
        <v>0</v>
      </c>
      <c r="O43" s="321">
        <v>0</v>
      </c>
      <c r="P43" s="259">
        <v>0</v>
      </c>
      <c r="Q43" s="265"/>
      <c r="R43" s="266">
        <f>SUM(F43:Q43)</f>
        <v>4700</v>
      </c>
    </row>
    <row r="44" spans="2:21" ht="19.95" customHeight="1">
      <c r="B44" s="536"/>
      <c r="C44" s="539"/>
      <c r="D44" s="322" t="s">
        <v>17</v>
      </c>
      <c r="E44" s="409" t="s">
        <v>160</v>
      </c>
      <c r="F44" s="324"/>
      <c r="G44" s="325">
        <v>10600</v>
      </c>
      <c r="H44" s="326">
        <v>120000</v>
      </c>
      <c r="I44" s="327">
        <v>1500</v>
      </c>
      <c r="J44" s="325">
        <v>7000</v>
      </c>
      <c r="K44" s="328"/>
      <c r="L44" s="410">
        <v>2000</v>
      </c>
      <c r="M44" s="410">
        <v>1500</v>
      </c>
      <c r="N44" s="331"/>
      <c r="O44" s="332"/>
      <c r="P44" s="330"/>
      <c r="Q44" s="333"/>
      <c r="R44" s="334">
        <f>SUM(F44:Q44)</f>
        <v>142600</v>
      </c>
    </row>
    <row r="45" spans="2:21" ht="19.95" customHeight="1">
      <c r="B45" s="536"/>
      <c r="C45" s="538" t="s">
        <v>21</v>
      </c>
      <c r="D45" s="543" t="s">
        <v>20</v>
      </c>
      <c r="E45" s="411" t="s">
        <v>161</v>
      </c>
      <c r="F45" s="258">
        <v>0</v>
      </c>
      <c r="G45" s="262"/>
      <c r="H45" s="260"/>
      <c r="I45" s="261"/>
      <c r="J45" s="262">
        <v>0</v>
      </c>
      <c r="K45" s="263"/>
      <c r="L45" s="264"/>
      <c r="M45" s="262"/>
      <c r="N45" s="260">
        <v>0</v>
      </c>
      <c r="O45" s="321"/>
      <c r="P45" s="259"/>
      <c r="Q45" s="265"/>
      <c r="R45" s="266">
        <f t="shared" ref="R45:R55" si="9">SUM(F45:Q45)</f>
        <v>0</v>
      </c>
    </row>
    <row r="46" spans="2:21" ht="19.95" customHeight="1">
      <c r="B46" s="536"/>
      <c r="C46" s="540"/>
      <c r="D46" s="544"/>
      <c r="E46" s="412" t="s">
        <v>179</v>
      </c>
      <c r="F46" s="336">
        <v>0</v>
      </c>
      <c r="G46" s="337"/>
      <c r="H46" s="338"/>
      <c r="I46" s="339"/>
      <c r="J46" s="337"/>
      <c r="K46" s="340"/>
      <c r="L46" s="341">
        <v>0</v>
      </c>
      <c r="M46" s="337"/>
      <c r="N46" s="338"/>
      <c r="O46" s="342"/>
      <c r="P46" s="413">
        <v>9750</v>
      </c>
      <c r="Q46" s="414">
        <v>9750</v>
      </c>
      <c r="R46" s="304">
        <f t="shared" si="9"/>
        <v>19500</v>
      </c>
    </row>
    <row r="47" spans="2:21" ht="19.95" customHeight="1">
      <c r="B47" s="536"/>
      <c r="C47" s="541"/>
      <c r="D47" s="545"/>
      <c r="E47" s="415" t="s">
        <v>163</v>
      </c>
      <c r="F47" s="296"/>
      <c r="G47" s="300">
        <v>0</v>
      </c>
      <c r="H47" s="298">
        <v>2700</v>
      </c>
      <c r="I47" s="299">
        <v>3000</v>
      </c>
      <c r="J47" s="300">
        <v>2700</v>
      </c>
      <c r="K47" s="301">
        <v>2700</v>
      </c>
      <c r="L47" s="341">
        <v>0</v>
      </c>
      <c r="M47" s="300">
        <v>2700</v>
      </c>
      <c r="N47" s="298">
        <v>2700</v>
      </c>
      <c r="O47" s="342">
        <v>2700</v>
      </c>
      <c r="P47" s="297">
        <v>2700</v>
      </c>
      <c r="Q47" s="303">
        <v>2700</v>
      </c>
      <c r="R47" s="304">
        <f t="shared" si="9"/>
        <v>24600</v>
      </c>
    </row>
    <row r="48" spans="2:21" ht="19.95" customHeight="1">
      <c r="B48" s="536"/>
      <c r="C48" s="541"/>
      <c r="D48" s="346" t="s">
        <v>180</v>
      </c>
      <c r="E48" s="415" t="s">
        <v>164</v>
      </c>
      <c r="F48" s="296">
        <v>0</v>
      </c>
      <c r="G48" s="300">
        <v>0</v>
      </c>
      <c r="H48" s="347">
        <v>900</v>
      </c>
      <c r="I48" s="348"/>
      <c r="J48" s="297"/>
      <c r="K48" s="303">
        <v>500</v>
      </c>
      <c r="L48" s="341">
        <v>520</v>
      </c>
      <c r="M48" s="297">
        <v>600</v>
      </c>
      <c r="N48" s="347"/>
      <c r="O48" s="342"/>
      <c r="P48" s="297"/>
      <c r="Q48" s="303"/>
      <c r="R48" s="304">
        <f t="shared" si="9"/>
        <v>2520</v>
      </c>
    </row>
    <row r="49" spans="2:18" ht="19.95" customHeight="1">
      <c r="B49" s="536"/>
      <c r="C49" s="542"/>
      <c r="D49" s="351" t="s">
        <v>181</v>
      </c>
      <c r="E49" s="416" t="s">
        <v>182</v>
      </c>
      <c r="F49" s="269">
        <v>0</v>
      </c>
      <c r="G49" s="273">
        <v>0</v>
      </c>
      <c r="H49" s="271">
        <v>300</v>
      </c>
      <c r="I49" s="272"/>
      <c r="J49" s="273"/>
      <c r="K49" s="274"/>
      <c r="L49" s="275"/>
      <c r="M49" s="270">
        <v>5000</v>
      </c>
      <c r="N49" s="271"/>
      <c r="O49" s="272"/>
      <c r="P49" s="270"/>
      <c r="Q49" s="276">
        <v>0</v>
      </c>
      <c r="R49" s="277">
        <f t="shared" si="9"/>
        <v>5300</v>
      </c>
    </row>
    <row r="50" spans="2:18" ht="19.95" customHeight="1">
      <c r="B50" s="536"/>
      <c r="C50" s="540" t="s">
        <v>13</v>
      </c>
      <c r="D50" s="544" t="s">
        <v>12</v>
      </c>
      <c r="E50" s="412" t="s">
        <v>11</v>
      </c>
      <c r="F50" s="336">
        <v>0</v>
      </c>
      <c r="G50" s="337">
        <v>0</v>
      </c>
      <c r="H50" s="338"/>
      <c r="I50" s="339"/>
      <c r="J50" s="337"/>
      <c r="K50" s="340"/>
      <c r="L50" s="341"/>
      <c r="M50" s="337"/>
      <c r="N50" s="338"/>
      <c r="O50" s="339"/>
      <c r="P50" s="413">
        <v>550</v>
      </c>
      <c r="Q50" s="356">
        <v>0</v>
      </c>
      <c r="R50" s="357">
        <f t="shared" si="9"/>
        <v>550</v>
      </c>
    </row>
    <row r="51" spans="2:18" ht="19.95" customHeight="1">
      <c r="B51" s="536"/>
      <c r="C51" s="539"/>
      <c r="D51" s="546"/>
      <c r="E51" s="417" t="s">
        <v>167</v>
      </c>
      <c r="F51" s="324">
        <v>0</v>
      </c>
      <c r="G51" s="325">
        <v>0</v>
      </c>
      <c r="H51" s="326">
        <v>4570</v>
      </c>
      <c r="I51" s="327"/>
      <c r="J51" s="325"/>
      <c r="K51" s="328"/>
      <c r="L51" s="329">
        <v>1880</v>
      </c>
      <c r="M51" s="270"/>
      <c r="N51" s="326"/>
      <c r="O51" s="327"/>
      <c r="P51" s="330"/>
      <c r="Q51" s="333">
        <v>0</v>
      </c>
      <c r="R51" s="334">
        <f t="shared" si="9"/>
        <v>6450</v>
      </c>
    </row>
    <row r="52" spans="2:18" ht="19.95" customHeight="1">
      <c r="B52" s="536"/>
      <c r="C52" s="538" t="s">
        <v>8</v>
      </c>
      <c r="D52" s="362" t="s">
        <v>7</v>
      </c>
      <c r="E52" s="407" t="s">
        <v>6</v>
      </c>
      <c r="F52" s="258">
        <v>0</v>
      </c>
      <c r="G52" s="259"/>
      <c r="H52" s="320"/>
      <c r="I52" s="321"/>
      <c r="J52" s="259"/>
      <c r="K52" s="418"/>
      <c r="L52" s="419"/>
      <c r="M52" s="408"/>
      <c r="N52" s="420"/>
      <c r="O52" s="421"/>
      <c r="P52" s="408"/>
      <c r="Q52" s="418">
        <v>0</v>
      </c>
      <c r="R52" s="266">
        <f t="shared" si="9"/>
        <v>0</v>
      </c>
    </row>
    <row r="53" spans="2:18" ht="19.95" customHeight="1">
      <c r="B53" s="536"/>
      <c r="C53" s="541"/>
      <c r="D53" s="547" t="s">
        <v>5</v>
      </c>
      <c r="E53" s="415" t="s">
        <v>168</v>
      </c>
      <c r="F53" s="296">
        <v>0</v>
      </c>
      <c r="G53" s="297"/>
      <c r="H53" s="298">
        <v>1740</v>
      </c>
      <c r="I53" s="348"/>
      <c r="J53" s="300">
        <v>235</v>
      </c>
      <c r="K53" s="368">
        <v>0</v>
      </c>
      <c r="L53" s="341">
        <v>3000</v>
      </c>
      <c r="M53" s="300"/>
      <c r="N53" s="370"/>
      <c r="O53" s="299"/>
      <c r="P53" s="422">
        <v>1800</v>
      </c>
      <c r="Q53" s="423">
        <v>1800</v>
      </c>
      <c r="R53" s="304">
        <f t="shared" si="9"/>
        <v>8575</v>
      </c>
    </row>
    <row r="54" spans="2:18" ht="19.95" customHeight="1">
      <c r="B54" s="536"/>
      <c r="C54" s="541"/>
      <c r="D54" s="547"/>
      <c r="E54" s="415" t="s">
        <v>169</v>
      </c>
      <c r="F54" s="296">
        <v>0</v>
      </c>
      <c r="G54" s="297"/>
      <c r="H54" s="347">
        <v>30</v>
      </c>
      <c r="I54" s="348"/>
      <c r="J54" s="297">
        <v>30</v>
      </c>
      <c r="K54" s="373"/>
      <c r="L54" s="341">
        <v>50</v>
      </c>
      <c r="M54" s="374"/>
      <c r="N54" s="375"/>
      <c r="O54" s="348"/>
      <c r="P54" s="297"/>
      <c r="Q54" s="303">
        <v>0</v>
      </c>
      <c r="R54" s="304">
        <f t="shared" si="9"/>
        <v>110</v>
      </c>
    </row>
    <row r="55" spans="2:18" ht="19.95" customHeight="1">
      <c r="B55" s="536"/>
      <c r="C55" s="542"/>
      <c r="D55" s="548"/>
      <c r="E55" s="416" t="s">
        <v>170</v>
      </c>
      <c r="F55" s="269">
        <v>0</v>
      </c>
      <c r="G55" s="270"/>
      <c r="H55" s="378"/>
      <c r="I55" s="379"/>
      <c r="J55" s="270"/>
      <c r="K55" s="380"/>
      <c r="L55" s="381"/>
      <c r="M55" s="382"/>
      <c r="N55" s="383"/>
      <c r="O55" s="379"/>
      <c r="P55" s="424">
        <v>210</v>
      </c>
      <c r="Q55" s="425">
        <v>210</v>
      </c>
      <c r="R55" s="277">
        <f t="shared" si="9"/>
        <v>420</v>
      </c>
    </row>
    <row r="56" spans="2:18" ht="19.95" customHeight="1">
      <c r="B56" s="537"/>
      <c r="C56" s="526" t="s">
        <v>183</v>
      </c>
      <c r="D56" s="527"/>
      <c r="E56" s="527"/>
      <c r="F56" s="305">
        <f>SUM(F43:F55)</f>
        <v>0</v>
      </c>
      <c r="G56" s="306">
        <f>SUM(G43:G55)</f>
        <v>15300</v>
      </c>
      <c r="H56" s="307">
        <f>SUM(H43:H55)</f>
        <v>130240</v>
      </c>
      <c r="I56" s="308">
        <f>SUM(I43:I55)</f>
        <v>4500</v>
      </c>
      <c r="J56" s="306">
        <f>SUM(J43:J55)</f>
        <v>9965</v>
      </c>
      <c r="K56" s="309">
        <f t="shared" ref="K56:Q56" si="10">SUM(K43:K55)</f>
        <v>3200</v>
      </c>
      <c r="L56" s="305">
        <f t="shared" si="10"/>
        <v>7450</v>
      </c>
      <c r="M56" s="306">
        <f t="shared" si="10"/>
        <v>9800</v>
      </c>
      <c r="N56" s="307">
        <f t="shared" si="10"/>
        <v>2700</v>
      </c>
      <c r="O56" s="308">
        <f t="shared" si="10"/>
        <v>2700</v>
      </c>
      <c r="P56" s="306">
        <f t="shared" si="10"/>
        <v>15010</v>
      </c>
      <c r="Q56" s="309">
        <f t="shared" si="10"/>
        <v>14460</v>
      </c>
      <c r="R56" s="310">
        <f>SUM(R43:R55)</f>
        <v>215325</v>
      </c>
    </row>
    <row r="57" spans="2:18" ht="19.95" customHeight="1">
      <c r="B57" s="528" t="s">
        <v>184</v>
      </c>
      <c r="C57" s="529"/>
      <c r="D57" s="529"/>
      <c r="E57" s="529"/>
      <c r="F57" s="426">
        <f>SUM(F44:F50)*17.65%+(F52*17.65%)+(F43*10%)</f>
        <v>0</v>
      </c>
      <c r="G57" s="427">
        <f>SUM(G44:G50)*17.65%+(G52*17.65%)+(G43*10%)</f>
        <v>2340.8999999999996</v>
      </c>
      <c r="H57" s="428">
        <f t="shared" ref="H57:Q57" si="11">SUM(H44:H50)*17.65%+(H52*17.65%)+(H43*10%)</f>
        <v>21868.35</v>
      </c>
      <c r="I57" s="429">
        <f t="shared" si="11"/>
        <v>794.25</v>
      </c>
      <c r="J57" s="427">
        <f t="shared" si="11"/>
        <v>1712.05</v>
      </c>
      <c r="K57" s="430">
        <f t="shared" si="11"/>
        <v>564.79999999999995</v>
      </c>
      <c r="L57" s="426">
        <f>SUM(L45:L50)*17.65%+(L52*17.65%)+(L43*10%)+L44*0.1</f>
        <v>291.77999999999997</v>
      </c>
      <c r="M57" s="427">
        <f>SUM(M45:M48)*17.65%+(M52*17.65%)+(M43*10%)+(M44+M49)*0.1</f>
        <v>1232.4499999999998</v>
      </c>
      <c r="N57" s="428">
        <f t="shared" si="11"/>
        <v>476.54999999999995</v>
      </c>
      <c r="O57" s="429">
        <f>SUM(O44:O50)*17.65%+(O52*17.65%)+(O43*10%)</f>
        <v>476.54999999999995</v>
      </c>
      <c r="P57" s="427">
        <f>SUM(P44:P50)*17.65%+(P52*17.65%)+(P43*10%)</f>
        <v>2294.5</v>
      </c>
      <c r="Q57" s="430">
        <f t="shared" si="11"/>
        <v>2197.4249999999997</v>
      </c>
      <c r="R57" s="431">
        <f>SUM(F57:Q57)</f>
        <v>34249.604999999996</v>
      </c>
    </row>
    <row r="58" spans="2:18" ht="19.95" customHeight="1">
      <c r="B58" s="528" t="s">
        <v>185</v>
      </c>
      <c r="C58" s="529"/>
      <c r="D58" s="529"/>
      <c r="E58" s="529"/>
      <c r="F58" s="432">
        <f>F56+F57</f>
        <v>0</v>
      </c>
      <c r="G58" s="433">
        <f>G56+G57</f>
        <v>17640.900000000001</v>
      </c>
      <c r="H58" s="434">
        <f>H56+H57</f>
        <v>152108.35</v>
      </c>
      <c r="I58" s="435">
        <f>I56+I57</f>
        <v>5294.25</v>
      </c>
      <c r="J58" s="433">
        <f>J56+J57</f>
        <v>11677.05</v>
      </c>
      <c r="K58" s="436">
        <f t="shared" ref="K58:Q58" si="12">K56+K57</f>
        <v>3764.8</v>
      </c>
      <c r="L58" s="432">
        <f t="shared" si="12"/>
        <v>7741.78</v>
      </c>
      <c r="M58" s="433">
        <f t="shared" si="12"/>
        <v>11032.45</v>
      </c>
      <c r="N58" s="434">
        <f t="shared" si="12"/>
        <v>3176.55</v>
      </c>
      <c r="O58" s="435">
        <f t="shared" si="12"/>
        <v>3176.55</v>
      </c>
      <c r="P58" s="433">
        <f t="shared" si="12"/>
        <v>17304.5</v>
      </c>
      <c r="Q58" s="436">
        <f t="shared" si="12"/>
        <v>16657.424999999999</v>
      </c>
      <c r="R58" s="437">
        <f>R56+R57</f>
        <v>249574.60499999998</v>
      </c>
    </row>
    <row r="59" spans="2:18" ht="19.95" customHeight="1">
      <c r="B59" s="438" t="s">
        <v>186</v>
      </c>
      <c r="H59" s="397"/>
      <c r="I59" s="397"/>
      <c r="J59" s="397"/>
      <c r="K59" s="397"/>
      <c r="L59" s="397"/>
      <c r="M59" s="397"/>
      <c r="N59" s="397"/>
      <c r="O59" s="397"/>
      <c r="P59" s="397"/>
    </row>
    <row r="60" spans="2:18" ht="19.95" customHeight="1">
      <c r="B60" s="246" t="s">
        <v>187</v>
      </c>
      <c r="G60" s="246">
        <f>(SUM(G44:G48)*17.65%)+(G43*10%)</f>
        <v>2340.8999999999996</v>
      </c>
      <c r="H60" s="246">
        <f t="shared" ref="H60:Q60" si="13">(SUM(H44:H48)*17.65%)+(H43*10%)</f>
        <v>21815.399999999998</v>
      </c>
      <c r="I60" s="246">
        <f t="shared" si="13"/>
        <v>794.25</v>
      </c>
      <c r="J60" s="246">
        <f t="shared" si="13"/>
        <v>1712.05</v>
      </c>
      <c r="K60" s="246">
        <f t="shared" si="13"/>
        <v>564.79999999999995</v>
      </c>
      <c r="L60" s="246">
        <f t="shared" si="13"/>
        <v>444.78</v>
      </c>
      <c r="M60" s="246">
        <f t="shared" si="13"/>
        <v>847.19999999999993</v>
      </c>
      <c r="N60" s="246">
        <f t="shared" si="13"/>
        <v>476.54999999999995</v>
      </c>
      <c r="O60" s="439">
        <f t="shared" si="13"/>
        <v>476.54999999999995</v>
      </c>
      <c r="P60" s="246">
        <f t="shared" si="13"/>
        <v>2197.4249999999997</v>
      </c>
      <c r="Q60" s="246">
        <f t="shared" si="13"/>
        <v>2197.4249999999997</v>
      </c>
    </row>
    <row r="61" spans="2:18" ht="19.95" customHeight="1">
      <c r="B61" s="246" t="s">
        <v>188</v>
      </c>
      <c r="O61" s="439"/>
      <c r="P61" s="397"/>
      <c r="R61" s="397"/>
    </row>
    <row r="62" spans="2:18" ht="19.95" customHeight="1">
      <c r="B62" s="246" t="s">
        <v>189</v>
      </c>
      <c r="O62" s="439"/>
    </row>
    <row r="63" spans="2:18" ht="19.95" customHeight="1">
      <c r="F63" s="439"/>
      <c r="O63" s="397"/>
    </row>
    <row r="65" spans="6:9" ht="19.95" customHeight="1">
      <c r="F65" s="319"/>
      <c r="H65" s="319"/>
    </row>
    <row r="66" spans="6:9" ht="19.95" customHeight="1">
      <c r="I66" s="440"/>
    </row>
  </sheetData>
  <mergeCells count="33">
    <mergeCell ref="B5:R5"/>
    <mergeCell ref="B7:D7"/>
    <mergeCell ref="B8:E8"/>
    <mergeCell ref="B9:B19"/>
    <mergeCell ref="C9:C11"/>
    <mergeCell ref="D11:E11"/>
    <mergeCell ref="C12:C16"/>
    <mergeCell ref="D16:E16"/>
    <mergeCell ref="C17:C18"/>
    <mergeCell ref="D18:E18"/>
    <mergeCell ref="C19:E19"/>
    <mergeCell ref="B20:B33"/>
    <mergeCell ref="C20:C21"/>
    <mergeCell ref="C22:C26"/>
    <mergeCell ref="D22:D24"/>
    <mergeCell ref="C27:C28"/>
    <mergeCell ref="D27:D28"/>
    <mergeCell ref="C29:C32"/>
    <mergeCell ref="D30:D32"/>
    <mergeCell ref="C33:E33"/>
    <mergeCell ref="C56:E56"/>
    <mergeCell ref="B57:E57"/>
    <mergeCell ref="B58:E58"/>
    <mergeCell ref="B34:E34"/>
    <mergeCell ref="B42:D42"/>
    <mergeCell ref="B43:B56"/>
    <mergeCell ref="C43:C44"/>
    <mergeCell ref="C45:C49"/>
    <mergeCell ref="D45:D47"/>
    <mergeCell ref="C50:C51"/>
    <mergeCell ref="D50:D51"/>
    <mergeCell ref="C52:C55"/>
    <mergeCell ref="D53:D55"/>
  </mergeCells>
  <phoneticPr fontId="3" type="noConversion"/>
  <pageMargins left="0.11811023622047245" right="0.11811023622047245" top="0.74803149606299213" bottom="0.74803149606299213" header="0.11811023622047245" footer="0.11811023622047245"/>
  <pageSetup paperSize="9" scale="83" fitToHeight="0" orientation="landscape" r:id="rId1"/>
  <rowBreaks count="2" manualBreakCount="2">
    <brk id="19" min="1" max="17" man="1"/>
    <brk id="40" min="1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E1BA-BEB4-4306-B86B-0521D07DA9E5}">
  <dimension ref="B1:W29"/>
  <sheetViews>
    <sheetView zoomScale="81" zoomScaleNormal="81" workbookViewId="0">
      <selection activeCell="M22" sqref="M22:T24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139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501" t="s">
        <v>101</v>
      </c>
      <c r="C11" s="502"/>
      <c r="D11" s="128" t="s">
        <v>98</v>
      </c>
      <c r="E11" s="97" t="s">
        <v>97</v>
      </c>
      <c r="F11" s="95" t="s">
        <v>96</v>
      </c>
      <c r="G11" s="97" t="s">
        <v>95</v>
      </c>
      <c r="H11" s="194" t="s">
        <v>94</v>
      </c>
      <c r="I11" s="194" t="s">
        <v>93</v>
      </c>
      <c r="J11" s="194" t="s">
        <v>76</v>
      </c>
      <c r="K11" s="194" t="s">
        <v>75</v>
      </c>
      <c r="L11" s="95" t="s">
        <v>74</v>
      </c>
      <c r="M11" s="97" t="s">
        <v>73</v>
      </c>
      <c r="N11" s="194" t="s">
        <v>72</v>
      </c>
      <c r="O11" s="194" t="s">
        <v>71</v>
      </c>
      <c r="P11" s="194" t="s">
        <v>70</v>
      </c>
      <c r="Q11" s="194" t="s">
        <v>69</v>
      </c>
      <c r="R11" s="95" t="s">
        <v>68</v>
      </c>
      <c r="S11" s="503" t="s">
        <v>106</v>
      </c>
      <c r="T11" s="503"/>
      <c r="U11" s="504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1795947</v>
      </c>
      <c r="F12" s="123">
        <f>SUM(M12:R12)</f>
        <v>1204053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559726</v>
      </c>
      <c r="K12" s="121">
        <f t="shared" si="0"/>
        <v>616677</v>
      </c>
      <c r="L12" s="120">
        <f t="shared" si="0"/>
        <v>149785</v>
      </c>
      <c r="M12" s="122">
        <f t="shared" si="0"/>
        <v>495725</v>
      </c>
      <c r="N12" s="121">
        <f t="shared" si="0"/>
        <v>488865</v>
      </c>
      <c r="O12" s="121">
        <f t="shared" si="0"/>
        <v>143177</v>
      </c>
      <c r="P12" s="121">
        <f t="shared" si="0"/>
        <v>43298</v>
      </c>
      <c r="Q12" s="121">
        <f t="shared" si="0"/>
        <v>32988</v>
      </c>
      <c r="R12" s="120">
        <f t="shared" si="0"/>
        <v>0</v>
      </c>
      <c r="S12" s="505"/>
      <c r="T12" s="505"/>
      <c r="U12" s="506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1795947</v>
      </c>
      <c r="F13" s="115">
        <f>SUM(M13:R13)</f>
        <v>1204053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559726</v>
      </c>
      <c r="K13" s="113">
        <f t="shared" si="1"/>
        <v>616677</v>
      </c>
      <c r="L13" s="112">
        <f t="shared" si="1"/>
        <v>149785</v>
      </c>
      <c r="M13" s="111">
        <f t="shared" si="1"/>
        <v>495725</v>
      </c>
      <c r="N13" s="110">
        <f t="shared" si="1"/>
        <v>488865</v>
      </c>
      <c r="O13" s="110">
        <f t="shared" si="1"/>
        <v>143177</v>
      </c>
      <c r="P13" s="110">
        <f t="shared" si="1"/>
        <v>43298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7" t="s">
        <v>101</v>
      </c>
      <c r="C16" s="508"/>
      <c r="D16" s="194" t="s">
        <v>100</v>
      </c>
      <c r="E16" s="509" t="s">
        <v>99</v>
      </c>
      <c r="F16" s="510"/>
      <c r="G16" s="100" t="s">
        <v>98</v>
      </c>
      <c r="H16" s="97" t="s">
        <v>97</v>
      </c>
      <c r="I16" s="95" t="s">
        <v>96</v>
      </c>
      <c r="J16" s="97" t="s">
        <v>95</v>
      </c>
      <c r="K16" s="194" t="s">
        <v>94</v>
      </c>
      <c r="L16" s="95" t="s">
        <v>93</v>
      </c>
      <c r="M16" s="99" t="s">
        <v>76</v>
      </c>
      <c r="N16" s="194" t="s">
        <v>75</v>
      </c>
      <c r="O16" s="195" t="s">
        <v>74</v>
      </c>
      <c r="P16" s="97" t="s">
        <v>73</v>
      </c>
      <c r="Q16" s="194" t="s">
        <v>72</v>
      </c>
      <c r="R16" s="195" t="s">
        <v>71</v>
      </c>
      <c r="S16" s="97" t="s">
        <v>70</v>
      </c>
      <c r="T16" s="194" t="s">
        <v>69</v>
      </c>
      <c r="U16" s="95" t="s">
        <v>68</v>
      </c>
    </row>
    <row r="17" spans="2:23" ht="20.100000000000001" customHeight="1" thickTop="1">
      <c r="B17" s="521" t="s">
        <v>92</v>
      </c>
      <c r="C17" s="522" t="s">
        <v>91</v>
      </c>
      <c r="D17" s="94">
        <v>6116001</v>
      </c>
      <c r="E17" s="524" t="s">
        <v>90</v>
      </c>
      <c r="F17" s="525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370000</v>
      </c>
      <c r="Q17" s="87">
        <v>370000</v>
      </c>
      <c r="R17" s="86">
        <v>60000</v>
      </c>
      <c r="S17" s="85"/>
      <c r="T17" s="84"/>
      <c r="U17" s="83"/>
    </row>
    <row r="18" spans="2:23" ht="20.100000000000001" customHeight="1">
      <c r="B18" s="469"/>
      <c r="C18" s="523"/>
      <c r="D18" s="76">
        <v>6116003</v>
      </c>
      <c r="E18" s="514" t="s">
        <v>89</v>
      </c>
      <c r="F18" s="51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69"/>
      <c r="C19" s="523"/>
      <c r="D19" s="76">
        <v>6116004</v>
      </c>
      <c r="E19" s="514" t="s">
        <v>88</v>
      </c>
      <c r="F19" s="51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69"/>
      <c r="C20" s="523"/>
      <c r="D20" s="76">
        <v>6116005</v>
      </c>
      <c r="E20" s="514" t="s">
        <v>87</v>
      </c>
      <c r="F20" s="51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69"/>
      <c r="C21" s="523"/>
      <c r="D21" s="76">
        <v>6116006</v>
      </c>
      <c r="E21" s="514" t="s">
        <v>86</v>
      </c>
      <c r="F21" s="51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69"/>
      <c r="C22" s="523"/>
      <c r="D22" s="76">
        <v>6116008</v>
      </c>
      <c r="E22" s="514" t="s">
        <v>85</v>
      </c>
      <c r="F22" s="515"/>
      <c r="G22" s="79">
        <f t="shared" si="2"/>
        <v>277000</v>
      </c>
      <c r="H22" s="78">
        <f t="shared" si="3"/>
        <v>192485</v>
      </c>
      <c r="I22" s="77">
        <f t="shared" si="4"/>
        <v>84515</v>
      </c>
      <c r="J22" s="68">
        <v>0</v>
      </c>
      <c r="K22" s="70">
        <v>17641</v>
      </c>
      <c r="L22" s="72">
        <v>152118</v>
      </c>
      <c r="M22" s="71">
        <v>7284</v>
      </c>
      <c r="N22" s="80">
        <v>11677</v>
      </c>
      <c r="O22" s="69">
        <v>3765</v>
      </c>
      <c r="P22" s="68">
        <v>3207</v>
      </c>
      <c r="Q22" s="70">
        <v>8865</v>
      </c>
      <c r="R22" s="69">
        <v>3177</v>
      </c>
      <c r="S22" s="68">
        <v>36278</v>
      </c>
      <c r="T22" s="67">
        <v>32988</v>
      </c>
      <c r="U22" s="66"/>
    </row>
    <row r="23" spans="2:23" ht="20.100000000000001" customHeight="1">
      <c r="B23" s="469"/>
      <c r="C23" s="523"/>
      <c r="D23" s="76">
        <v>6116017</v>
      </c>
      <c r="E23" s="514" t="s">
        <v>84</v>
      </c>
      <c r="F23" s="51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69"/>
      <c r="C24" s="523"/>
      <c r="D24" s="76">
        <v>6116023</v>
      </c>
      <c r="E24" s="516" t="s">
        <v>83</v>
      </c>
      <c r="F24" s="51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69"/>
      <c r="C25" s="523"/>
      <c r="D25" s="518" t="s">
        <v>82</v>
      </c>
      <c r="E25" s="519"/>
      <c r="F25" s="520"/>
      <c r="G25" s="64">
        <f t="shared" ref="G25:U25" si="5">SUM(G17:G24)</f>
        <v>3000000</v>
      </c>
      <c r="H25" s="63">
        <f t="shared" si="5"/>
        <v>1795947</v>
      </c>
      <c r="I25" s="62">
        <f t="shared" si="5"/>
        <v>1204053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559726</v>
      </c>
      <c r="N25" s="58">
        <f t="shared" si="5"/>
        <v>616677</v>
      </c>
      <c r="O25" s="60">
        <f t="shared" si="5"/>
        <v>149785</v>
      </c>
      <c r="P25" s="59">
        <f t="shared" si="5"/>
        <v>495725</v>
      </c>
      <c r="Q25" s="58">
        <f t="shared" si="5"/>
        <v>488865</v>
      </c>
      <c r="R25" s="60">
        <f t="shared" si="5"/>
        <v>143177</v>
      </c>
      <c r="S25" s="59">
        <f t="shared" si="5"/>
        <v>43298</v>
      </c>
      <c r="T25" s="58">
        <f t="shared" si="5"/>
        <v>32988</v>
      </c>
      <c r="U25" s="57">
        <f t="shared" si="5"/>
        <v>0</v>
      </c>
    </row>
    <row r="26" spans="2:23" ht="20.399999999999999" customHeight="1">
      <c r="B26" s="511" t="s">
        <v>81</v>
      </c>
      <c r="C26" s="512"/>
      <c r="D26" s="512"/>
      <c r="E26" s="512"/>
      <c r="F26" s="513"/>
      <c r="G26" s="56">
        <f t="shared" ref="G26:U26" si="6">G25</f>
        <v>3000000</v>
      </c>
      <c r="H26" s="53">
        <f t="shared" si="6"/>
        <v>1795947</v>
      </c>
      <c r="I26" s="51">
        <f t="shared" si="6"/>
        <v>1204053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559726</v>
      </c>
      <c r="N26" s="52">
        <f t="shared" si="6"/>
        <v>616677</v>
      </c>
      <c r="O26" s="51">
        <f t="shared" si="6"/>
        <v>149785</v>
      </c>
      <c r="P26" s="55">
        <f t="shared" si="6"/>
        <v>495725</v>
      </c>
      <c r="Q26" s="52">
        <f t="shared" si="6"/>
        <v>488865</v>
      </c>
      <c r="R26" s="54">
        <f t="shared" si="6"/>
        <v>143177</v>
      </c>
      <c r="S26" s="53">
        <f t="shared" si="6"/>
        <v>43298</v>
      </c>
      <c r="T26" s="52">
        <f t="shared" si="6"/>
        <v>32988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68F-B705-4A59-AB4B-8A32009EFBB5}">
  <dimension ref="B1:W29"/>
  <sheetViews>
    <sheetView zoomScale="81" zoomScaleNormal="81" workbookViewId="0">
      <selection activeCell="J33" sqref="J33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138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501" t="s">
        <v>101</v>
      </c>
      <c r="C11" s="502"/>
      <c r="D11" s="128" t="s">
        <v>98</v>
      </c>
      <c r="E11" s="97" t="s">
        <v>97</v>
      </c>
      <c r="F11" s="95" t="s">
        <v>96</v>
      </c>
      <c r="G11" s="97" t="s">
        <v>95</v>
      </c>
      <c r="H11" s="168" t="s">
        <v>94</v>
      </c>
      <c r="I11" s="168" t="s">
        <v>93</v>
      </c>
      <c r="J11" s="168" t="s">
        <v>76</v>
      </c>
      <c r="K11" s="168" t="s">
        <v>75</v>
      </c>
      <c r="L11" s="95" t="s">
        <v>74</v>
      </c>
      <c r="M11" s="97" t="s">
        <v>73</v>
      </c>
      <c r="N11" s="168" t="s">
        <v>72</v>
      </c>
      <c r="O11" s="168" t="s">
        <v>71</v>
      </c>
      <c r="P11" s="168" t="s">
        <v>70</v>
      </c>
      <c r="Q11" s="168" t="s">
        <v>69</v>
      </c>
      <c r="R11" s="95" t="s">
        <v>68</v>
      </c>
      <c r="S11" s="503" t="s">
        <v>106</v>
      </c>
      <c r="T11" s="503"/>
      <c r="U11" s="504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1577546</v>
      </c>
      <c r="F12" s="123">
        <f>SUM(M12:R12)</f>
        <v>1422454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567619</v>
      </c>
      <c r="K12" s="121">
        <f t="shared" si="0"/>
        <v>459383</v>
      </c>
      <c r="L12" s="120">
        <f t="shared" si="0"/>
        <v>80785</v>
      </c>
      <c r="M12" s="122">
        <f t="shared" si="0"/>
        <v>672904</v>
      </c>
      <c r="N12" s="121">
        <f t="shared" si="0"/>
        <v>562365</v>
      </c>
      <c r="O12" s="121">
        <f t="shared" si="0"/>
        <v>144353</v>
      </c>
      <c r="P12" s="121">
        <f t="shared" si="0"/>
        <v>9844</v>
      </c>
      <c r="Q12" s="121">
        <f t="shared" si="0"/>
        <v>32988</v>
      </c>
      <c r="R12" s="120">
        <f t="shared" si="0"/>
        <v>0</v>
      </c>
      <c r="S12" s="505"/>
      <c r="T12" s="505"/>
      <c r="U12" s="506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1577546</v>
      </c>
      <c r="F13" s="115">
        <f>SUM(M13:R13)</f>
        <v>1422454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567619</v>
      </c>
      <c r="K13" s="113">
        <f t="shared" si="1"/>
        <v>459383</v>
      </c>
      <c r="L13" s="112">
        <f t="shared" si="1"/>
        <v>80785</v>
      </c>
      <c r="M13" s="111">
        <f t="shared" si="1"/>
        <v>672904</v>
      </c>
      <c r="N13" s="110">
        <f t="shared" si="1"/>
        <v>562365</v>
      </c>
      <c r="O13" s="110">
        <f t="shared" si="1"/>
        <v>144353</v>
      </c>
      <c r="P13" s="110">
        <f t="shared" si="1"/>
        <v>9844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7" t="s">
        <v>101</v>
      </c>
      <c r="C16" s="508"/>
      <c r="D16" s="168" t="s">
        <v>100</v>
      </c>
      <c r="E16" s="509" t="s">
        <v>99</v>
      </c>
      <c r="F16" s="510"/>
      <c r="G16" s="100" t="s">
        <v>98</v>
      </c>
      <c r="H16" s="97" t="s">
        <v>97</v>
      </c>
      <c r="I16" s="95" t="s">
        <v>96</v>
      </c>
      <c r="J16" s="97" t="s">
        <v>95</v>
      </c>
      <c r="K16" s="168" t="s">
        <v>94</v>
      </c>
      <c r="L16" s="95" t="s">
        <v>93</v>
      </c>
      <c r="M16" s="99" t="s">
        <v>76</v>
      </c>
      <c r="N16" s="168" t="s">
        <v>75</v>
      </c>
      <c r="O16" s="169" t="s">
        <v>74</v>
      </c>
      <c r="P16" s="97" t="s">
        <v>73</v>
      </c>
      <c r="Q16" s="168" t="s">
        <v>72</v>
      </c>
      <c r="R16" s="169" t="s">
        <v>71</v>
      </c>
      <c r="S16" s="97" t="s">
        <v>70</v>
      </c>
      <c r="T16" s="168" t="s">
        <v>69</v>
      </c>
      <c r="U16" s="95" t="s">
        <v>68</v>
      </c>
    </row>
    <row r="17" spans="2:23" ht="20.100000000000001" customHeight="1" thickTop="1">
      <c r="B17" s="521" t="s">
        <v>92</v>
      </c>
      <c r="C17" s="522" t="s">
        <v>91</v>
      </c>
      <c r="D17" s="94">
        <v>6116001</v>
      </c>
      <c r="E17" s="524" t="s">
        <v>90</v>
      </c>
      <c r="F17" s="525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171">
        <v>340000</v>
      </c>
      <c r="N17" s="171">
        <v>340000</v>
      </c>
      <c r="O17" s="172">
        <v>70000</v>
      </c>
      <c r="P17" s="173">
        <v>370000</v>
      </c>
      <c r="Q17" s="174">
        <v>370000</v>
      </c>
      <c r="R17" s="175">
        <v>60000</v>
      </c>
      <c r="S17" s="85"/>
      <c r="T17" s="84"/>
      <c r="U17" s="83"/>
    </row>
    <row r="18" spans="2:23" ht="20.100000000000001" customHeight="1">
      <c r="B18" s="469"/>
      <c r="C18" s="523"/>
      <c r="D18" s="76">
        <v>6116003</v>
      </c>
      <c r="E18" s="514" t="s">
        <v>89</v>
      </c>
      <c r="F18" s="51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69"/>
      <c r="C19" s="523"/>
      <c r="D19" s="76">
        <v>6116004</v>
      </c>
      <c r="E19" s="514" t="s">
        <v>88</v>
      </c>
      <c r="F19" s="51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69"/>
      <c r="C20" s="523"/>
      <c r="D20" s="76">
        <v>6116005</v>
      </c>
      <c r="E20" s="514" t="s">
        <v>87</v>
      </c>
      <c r="F20" s="51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69"/>
      <c r="C21" s="523"/>
      <c r="D21" s="76">
        <v>6116006</v>
      </c>
      <c r="E21" s="514" t="s">
        <v>86</v>
      </c>
      <c r="F21" s="51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176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69"/>
      <c r="C22" s="523"/>
      <c r="D22" s="76">
        <v>6116008</v>
      </c>
      <c r="E22" s="514" t="s">
        <v>85</v>
      </c>
      <c r="F22" s="515"/>
      <c r="G22" s="79">
        <f t="shared" si="2"/>
        <v>365000</v>
      </c>
      <c r="H22" s="78">
        <f t="shared" si="3"/>
        <v>193084</v>
      </c>
      <c r="I22" s="77">
        <f t="shared" si="4"/>
        <v>171916</v>
      </c>
      <c r="J22" s="68">
        <v>0</v>
      </c>
      <c r="K22" s="177">
        <v>17641</v>
      </c>
      <c r="L22" s="178">
        <v>152118</v>
      </c>
      <c r="M22" s="176">
        <v>15177</v>
      </c>
      <c r="N22" s="179">
        <v>4383</v>
      </c>
      <c r="O22" s="180">
        <v>3765</v>
      </c>
      <c r="P22" s="181">
        <v>124386</v>
      </c>
      <c r="Q22" s="177">
        <v>7365</v>
      </c>
      <c r="R22" s="180">
        <v>4353</v>
      </c>
      <c r="S22" s="181">
        <v>2824</v>
      </c>
      <c r="T22" s="182">
        <v>32988</v>
      </c>
      <c r="U22" s="66"/>
    </row>
    <row r="23" spans="2:23" ht="20.100000000000001" customHeight="1">
      <c r="B23" s="469"/>
      <c r="C23" s="523"/>
      <c r="D23" s="76">
        <v>6116017</v>
      </c>
      <c r="E23" s="514" t="s">
        <v>84</v>
      </c>
      <c r="F23" s="515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>
      <c r="B24" s="469"/>
      <c r="C24" s="523"/>
      <c r="D24" s="76">
        <v>6116023</v>
      </c>
      <c r="E24" s="516" t="s">
        <v>83</v>
      </c>
      <c r="F24" s="517"/>
      <c r="G24" s="75">
        <f t="shared" si="2"/>
        <v>150000</v>
      </c>
      <c r="H24" s="74">
        <f t="shared" si="3"/>
        <v>0</v>
      </c>
      <c r="I24" s="73">
        <f t="shared" si="4"/>
        <v>150000</v>
      </c>
      <c r="J24" s="68">
        <v>0</v>
      </c>
      <c r="K24" s="70"/>
      <c r="L24" s="72"/>
      <c r="M24" s="71"/>
      <c r="N24" s="70"/>
      <c r="O24" s="183"/>
      <c r="P24" s="176">
        <v>75000</v>
      </c>
      <c r="Q24" s="177">
        <v>75000</v>
      </c>
      <c r="R24" s="69"/>
      <c r="S24" s="68"/>
      <c r="T24" s="67"/>
      <c r="U24" s="66"/>
      <c r="W24" s="65"/>
    </row>
    <row r="25" spans="2:23" ht="20.100000000000001" customHeight="1">
      <c r="B25" s="469"/>
      <c r="C25" s="523"/>
      <c r="D25" s="518" t="s">
        <v>82</v>
      </c>
      <c r="E25" s="519"/>
      <c r="F25" s="520"/>
      <c r="G25" s="64">
        <f t="shared" ref="G25:U25" si="5">SUM(G17:G24)</f>
        <v>3000000</v>
      </c>
      <c r="H25" s="63">
        <f t="shared" si="5"/>
        <v>1577546</v>
      </c>
      <c r="I25" s="62">
        <f t="shared" si="5"/>
        <v>1422454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567619</v>
      </c>
      <c r="N25" s="58">
        <f t="shared" si="5"/>
        <v>459383</v>
      </c>
      <c r="O25" s="60">
        <f t="shared" si="5"/>
        <v>80785</v>
      </c>
      <c r="P25" s="59">
        <f t="shared" si="5"/>
        <v>672904</v>
      </c>
      <c r="Q25" s="58">
        <f t="shared" si="5"/>
        <v>562365</v>
      </c>
      <c r="R25" s="60">
        <f t="shared" si="5"/>
        <v>144353</v>
      </c>
      <c r="S25" s="59">
        <f t="shared" si="5"/>
        <v>9844</v>
      </c>
      <c r="T25" s="58">
        <f t="shared" si="5"/>
        <v>32988</v>
      </c>
      <c r="U25" s="57">
        <f t="shared" si="5"/>
        <v>0</v>
      </c>
    </row>
    <row r="26" spans="2:23" ht="20.399999999999999" customHeight="1">
      <c r="B26" s="511" t="s">
        <v>81</v>
      </c>
      <c r="C26" s="512"/>
      <c r="D26" s="512"/>
      <c r="E26" s="512"/>
      <c r="F26" s="513"/>
      <c r="G26" s="56">
        <f t="shared" ref="G26:U26" si="6">G25</f>
        <v>3000000</v>
      </c>
      <c r="H26" s="53">
        <f t="shared" si="6"/>
        <v>1577546</v>
      </c>
      <c r="I26" s="51">
        <f t="shared" si="6"/>
        <v>1422454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567619</v>
      </c>
      <c r="N26" s="52">
        <f t="shared" si="6"/>
        <v>459383</v>
      </c>
      <c r="O26" s="51">
        <f t="shared" si="6"/>
        <v>80785</v>
      </c>
      <c r="P26" s="55">
        <f t="shared" si="6"/>
        <v>672904</v>
      </c>
      <c r="Q26" s="52">
        <f t="shared" si="6"/>
        <v>562365</v>
      </c>
      <c r="R26" s="54">
        <f t="shared" si="6"/>
        <v>144353</v>
      </c>
      <c r="S26" s="53">
        <f t="shared" si="6"/>
        <v>9844</v>
      </c>
      <c r="T26" s="52">
        <f t="shared" si="6"/>
        <v>32988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414A-7F41-4471-908A-73382C839BB3}">
  <dimension ref="B1:W29"/>
  <sheetViews>
    <sheetView zoomScale="81" zoomScaleNormal="81" workbookViewId="0">
      <selection activeCell="V20" sqref="V20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131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501" t="s">
        <v>101</v>
      </c>
      <c r="C11" s="502"/>
      <c r="D11" s="128" t="s">
        <v>98</v>
      </c>
      <c r="E11" s="97" t="s">
        <v>97</v>
      </c>
      <c r="F11" s="95" t="s">
        <v>96</v>
      </c>
      <c r="G11" s="97" t="s">
        <v>95</v>
      </c>
      <c r="H11" s="96" t="s">
        <v>94</v>
      </c>
      <c r="I11" s="96" t="s">
        <v>93</v>
      </c>
      <c r="J11" s="96" t="s">
        <v>76</v>
      </c>
      <c r="K11" s="96" t="s">
        <v>75</v>
      </c>
      <c r="L11" s="95" t="s">
        <v>74</v>
      </c>
      <c r="M11" s="97" t="s">
        <v>73</v>
      </c>
      <c r="N11" s="96" t="s">
        <v>72</v>
      </c>
      <c r="O11" s="96" t="s">
        <v>71</v>
      </c>
      <c r="P11" s="96" t="s">
        <v>70</v>
      </c>
      <c r="Q11" s="96" t="s">
        <v>69</v>
      </c>
      <c r="R11" s="95" t="s">
        <v>68</v>
      </c>
      <c r="S11" s="503" t="s">
        <v>106</v>
      </c>
      <c r="T11" s="503"/>
      <c r="U11" s="504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1513022</v>
      </c>
      <c r="F12" s="123">
        <f>SUM(M12:R12)</f>
        <v>1486978</v>
      </c>
      <c r="G12" s="122">
        <f t="shared" ref="G12:R12" si="0">SUM(G13:G13)</f>
        <v>0</v>
      </c>
      <c r="H12" s="121">
        <f t="shared" si="0"/>
        <v>244794</v>
      </c>
      <c r="I12" s="121">
        <f t="shared" si="0"/>
        <v>417000</v>
      </c>
      <c r="J12" s="121">
        <f t="shared" si="0"/>
        <v>410972</v>
      </c>
      <c r="K12" s="121">
        <f t="shared" si="0"/>
        <v>423824</v>
      </c>
      <c r="L12" s="120">
        <f t="shared" si="0"/>
        <v>16432</v>
      </c>
      <c r="M12" s="122">
        <f t="shared" si="0"/>
        <v>607048</v>
      </c>
      <c r="N12" s="121">
        <f t="shared" si="0"/>
        <v>744413</v>
      </c>
      <c r="O12" s="121">
        <f t="shared" si="0"/>
        <v>92942</v>
      </c>
      <c r="P12" s="121">
        <f t="shared" si="0"/>
        <v>10550</v>
      </c>
      <c r="Q12" s="121">
        <f t="shared" si="0"/>
        <v>32025</v>
      </c>
      <c r="R12" s="120">
        <f t="shared" si="0"/>
        <v>0</v>
      </c>
      <c r="S12" s="505"/>
      <c r="T12" s="505"/>
      <c r="U12" s="506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1513022</v>
      </c>
      <c r="F13" s="115">
        <f>SUM(M13:R13)</f>
        <v>1486978</v>
      </c>
      <c r="G13" s="114">
        <f t="shared" ref="G13:R13" si="1">J26</f>
        <v>0</v>
      </c>
      <c r="H13" s="113">
        <f t="shared" si="1"/>
        <v>244794</v>
      </c>
      <c r="I13" s="113">
        <f t="shared" si="1"/>
        <v>417000</v>
      </c>
      <c r="J13" s="113">
        <f t="shared" si="1"/>
        <v>410972</v>
      </c>
      <c r="K13" s="113">
        <f t="shared" si="1"/>
        <v>423824</v>
      </c>
      <c r="L13" s="112">
        <f t="shared" si="1"/>
        <v>16432</v>
      </c>
      <c r="M13" s="111">
        <f t="shared" si="1"/>
        <v>607048</v>
      </c>
      <c r="N13" s="110">
        <f t="shared" si="1"/>
        <v>744413</v>
      </c>
      <c r="O13" s="110">
        <f t="shared" si="1"/>
        <v>92942</v>
      </c>
      <c r="P13" s="110">
        <f t="shared" si="1"/>
        <v>10550</v>
      </c>
      <c r="Q13" s="110">
        <f t="shared" si="1"/>
        <v>32025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7" t="s">
        <v>101</v>
      </c>
      <c r="C16" s="508"/>
      <c r="D16" s="96" t="s">
        <v>100</v>
      </c>
      <c r="E16" s="509" t="s">
        <v>99</v>
      </c>
      <c r="F16" s="510"/>
      <c r="G16" s="100" t="s">
        <v>98</v>
      </c>
      <c r="H16" s="97" t="s">
        <v>97</v>
      </c>
      <c r="I16" s="95" t="s">
        <v>96</v>
      </c>
      <c r="J16" s="97" t="s">
        <v>95</v>
      </c>
      <c r="K16" s="96" t="s">
        <v>94</v>
      </c>
      <c r="L16" s="95" t="s">
        <v>93</v>
      </c>
      <c r="M16" s="99" t="s">
        <v>76</v>
      </c>
      <c r="N16" s="96" t="s">
        <v>75</v>
      </c>
      <c r="O16" s="98" t="s">
        <v>74</v>
      </c>
      <c r="P16" s="97" t="s">
        <v>73</v>
      </c>
      <c r="Q16" s="96" t="s">
        <v>72</v>
      </c>
      <c r="R16" s="98" t="s">
        <v>71</v>
      </c>
      <c r="S16" s="97" t="s">
        <v>70</v>
      </c>
      <c r="T16" s="96" t="s">
        <v>69</v>
      </c>
      <c r="U16" s="95" t="s">
        <v>68</v>
      </c>
    </row>
    <row r="17" spans="2:23" ht="20.100000000000001" customHeight="1" thickTop="1">
      <c r="B17" s="521" t="s">
        <v>92</v>
      </c>
      <c r="C17" s="522" t="s">
        <v>91</v>
      </c>
      <c r="D17" s="94">
        <v>6116001</v>
      </c>
      <c r="E17" s="524" t="s">
        <v>90</v>
      </c>
      <c r="F17" s="525"/>
      <c r="G17" s="93">
        <f t="shared" ref="G17:G24" si="2">SUM(H17:I17)</f>
        <v>1500000</v>
      </c>
      <c r="H17" s="92">
        <f t="shared" ref="H17:H24" si="3">SUM(J17:O17)</f>
        <v>900000</v>
      </c>
      <c r="I17" s="91">
        <f t="shared" ref="I17:I24" si="4">SUM(P17:U17)</f>
        <v>600000</v>
      </c>
      <c r="J17" s="85">
        <v>0</v>
      </c>
      <c r="K17" s="87"/>
      <c r="L17" s="90">
        <v>300000</v>
      </c>
      <c r="M17" s="89">
        <v>300000</v>
      </c>
      <c r="N17" s="87">
        <v>300000</v>
      </c>
      <c r="O17" s="88"/>
      <c r="P17" s="85">
        <v>300000</v>
      </c>
      <c r="Q17" s="87">
        <v>300000</v>
      </c>
      <c r="R17" s="86"/>
      <c r="S17" s="85"/>
      <c r="T17" s="84"/>
      <c r="U17" s="83"/>
    </row>
    <row r="18" spans="2:23" ht="20.100000000000001" customHeight="1">
      <c r="B18" s="469"/>
      <c r="C18" s="523"/>
      <c r="D18" s="76">
        <v>6116003</v>
      </c>
      <c r="E18" s="514" t="s">
        <v>89</v>
      </c>
      <c r="F18" s="51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69"/>
      <c r="C19" s="523"/>
      <c r="D19" s="76">
        <v>6116004</v>
      </c>
      <c r="E19" s="514" t="s">
        <v>88</v>
      </c>
      <c r="F19" s="51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69"/>
      <c r="C20" s="523"/>
      <c r="D20" s="76">
        <v>6116005</v>
      </c>
      <c r="E20" s="514" t="s">
        <v>87</v>
      </c>
      <c r="F20" s="51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69"/>
      <c r="C21" s="523"/>
      <c r="D21" s="76">
        <v>6116006</v>
      </c>
      <c r="E21" s="514" t="s">
        <v>86</v>
      </c>
      <c r="F21" s="51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105000</v>
      </c>
      <c r="M21" s="71">
        <v>107442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69"/>
      <c r="C22" s="523"/>
      <c r="D22" s="76">
        <v>6116008</v>
      </c>
      <c r="E22" s="514" t="s">
        <v>85</v>
      </c>
      <c r="F22" s="515"/>
      <c r="G22" s="79">
        <f t="shared" si="2"/>
        <v>365000</v>
      </c>
      <c r="H22" s="78">
        <f t="shared" si="3"/>
        <v>278560</v>
      </c>
      <c r="I22" s="77">
        <f t="shared" si="4"/>
        <v>86440</v>
      </c>
      <c r="J22" s="68">
        <v>0</v>
      </c>
      <c r="K22" s="70">
        <v>244794</v>
      </c>
      <c r="L22" s="72">
        <v>12000</v>
      </c>
      <c r="M22" s="71">
        <v>3530</v>
      </c>
      <c r="N22" s="80">
        <v>8824</v>
      </c>
      <c r="O22" s="69">
        <v>9412</v>
      </c>
      <c r="P22" s="68">
        <v>3530</v>
      </c>
      <c r="Q22" s="70">
        <v>34413</v>
      </c>
      <c r="R22" s="69">
        <v>12942</v>
      </c>
      <c r="S22" s="68">
        <v>3530</v>
      </c>
      <c r="T22" s="67">
        <v>32025</v>
      </c>
      <c r="U22" s="66"/>
    </row>
    <row r="23" spans="2:23" ht="20.100000000000001" customHeight="1">
      <c r="B23" s="469"/>
      <c r="C23" s="523"/>
      <c r="D23" s="76">
        <v>6116017</v>
      </c>
      <c r="E23" s="514" t="s">
        <v>84</v>
      </c>
      <c r="F23" s="515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>
      <c r="B24" s="469"/>
      <c r="C24" s="523"/>
      <c r="D24" s="76">
        <v>6116023</v>
      </c>
      <c r="E24" s="516" t="s">
        <v>83</v>
      </c>
      <c r="F24" s="517"/>
      <c r="G24" s="75">
        <f t="shared" si="2"/>
        <v>500000</v>
      </c>
      <c r="H24" s="74">
        <f t="shared" si="3"/>
        <v>0</v>
      </c>
      <c r="I24" s="73">
        <f t="shared" si="4"/>
        <v>500000</v>
      </c>
      <c r="J24" s="68">
        <v>0</v>
      </c>
      <c r="K24" s="70"/>
      <c r="L24" s="72"/>
      <c r="M24" s="71"/>
      <c r="N24" s="70"/>
      <c r="O24" s="69"/>
      <c r="P24" s="68">
        <v>200000</v>
      </c>
      <c r="Q24" s="70">
        <v>300000</v>
      </c>
      <c r="R24" s="69"/>
      <c r="S24" s="68"/>
      <c r="T24" s="67"/>
      <c r="U24" s="66"/>
      <c r="W24" s="65"/>
    </row>
    <row r="25" spans="2:23" ht="20.100000000000001" customHeight="1">
      <c r="B25" s="469"/>
      <c r="C25" s="523"/>
      <c r="D25" s="518" t="s">
        <v>82</v>
      </c>
      <c r="E25" s="519"/>
      <c r="F25" s="520"/>
      <c r="G25" s="64">
        <f t="shared" ref="G25:U25" si="5">SUM(G17:G24)</f>
        <v>3000000</v>
      </c>
      <c r="H25" s="63">
        <f t="shared" si="5"/>
        <v>1513022</v>
      </c>
      <c r="I25" s="62">
        <f t="shared" si="5"/>
        <v>1486978</v>
      </c>
      <c r="J25" s="59">
        <f t="shared" si="5"/>
        <v>0</v>
      </c>
      <c r="K25" s="58">
        <f t="shared" si="5"/>
        <v>244794</v>
      </c>
      <c r="L25" s="57">
        <f t="shared" si="5"/>
        <v>417000</v>
      </c>
      <c r="M25" s="61">
        <f t="shared" si="5"/>
        <v>410972</v>
      </c>
      <c r="N25" s="58">
        <f t="shared" si="5"/>
        <v>423824</v>
      </c>
      <c r="O25" s="60">
        <f t="shared" si="5"/>
        <v>16432</v>
      </c>
      <c r="P25" s="59">
        <f t="shared" si="5"/>
        <v>607048</v>
      </c>
      <c r="Q25" s="58">
        <f t="shared" si="5"/>
        <v>744413</v>
      </c>
      <c r="R25" s="60">
        <f t="shared" si="5"/>
        <v>92942</v>
      </c>
      <c r="S25" s="59">
        <f t="shared" si="5"/>
        <v>10550</v>
      </c>
      <c r="T25" s="58">
        <f t="shared" si="5"/>
        <v>32025</v>
      </c>
      <c r="U25" s="57">
        <f t="shared" si="5"/>
        <v>0</v>
      </c>
    </row>
    <row r="26" spans="2:23" ht="20.399999999999999" customHeight="1">
      <c r="B26" s="511" t="s">
        <v>81</v>
      </c>
      <c r="C26" s="512"/>
      <c r="D26" s="512"/>
      <c r="E26" s="512"/>
      <c r="F26" s="513"/>
      <c r="G26" s="56">
        <f t="shared" ref="G26:U26" si="6">G25</f>
        <v>3000000</v>
      </c>
      <c r="H26" s="53">
        <f t="shared" si="6"/>
        <v>1513022</v>
      </c>
      <c r="I26" s="51">
        <f t="shared" si="6"/>
        <v>1486978</v>
      </c>
      <c r="J26" s="53">
        <f t="shared" si="6"/>
        <v>0</v>
      </c>
      <c r="K26" s="52">
        <f t="shared" si="6"/>
        <v>244794</v>
      </c>
      <c r="L26" s="51">
        <f t="shared" si="6"/>
        <v>417000</v>
      </c>
      <c r="M26" s="53">
        <f t="shared" si="6"/>
        <v>410972</v>
      </c>
      <c r="N26" s="52">
        <f t="shared" si="6"/>
        <v>423824</v>
      </c>
      <c r="O26" s="51">
        <f t="shared" si="6"/>
        <v>16432</v>
      </c>
      <c r="P26" s="55">
        <f t="shared" si="6"/>
        <v>607048</v>
      </c>
      <c r="Q26" s="52">
        <f t="shared" si="6"/>
        <v>744413</v>
      </c>
      <c r="R26" s="54">
        <f t="shared" si="6"/>
        <v>92942</v>
      </c>
      <c r="S26" s="53">
        <f t="shared" si="6"/>
        <v>10550</v>
      </c>
      <c r="T26" s="52">
        <f t="shared" si="6"/>
        <v>32025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13</vt:i4>
      </vt:variant>
    </vt:vector>
  </HeadingPairs>
  <TitlesOfParts>
    <vt:vector size="27" baseType="lpstr">
      <vt:lpstr>1. 예산사용 상세 231123 (40억)</vt:lpstr>
      <vt:lpstr>1. 예산사용 상세 250626</vt:lpstr>
      <vt:lpstr>1. 예산사용 상세 240822</vt:lpstr>
      <vt:lpstr>Sheet1</vt:lpstr>
      <vt:lpstr>1. 예산사용 상세 240423</vt:lpstr>
      <vt:lpstr>1. 예산사용 상세 240318</vt:lpstr>
      <vt:lpstr>1. 예산사용 상세 231130</vt:lpstr>
      <vt:lpstr>1. 예산사용 상세 240724</vt:lpstr>
      <vt:lpstr>2. 2024년 계획 240822</vt:lpstr>
      <vt:lpstr>2. 2024년 계획 240724</vt:lpstr>
      <vt:lpstr>나. 벤포벨</vt:lpstr>
      <vt:lpstr>2. 2024년 계획 240423</vt:lpstr>
      <vt:lpstr>2. 2024년 계획 240318</vt:lpstr>
      <vt:lpstr>2. 2024년 계획 231130</vt:lpstr>
      <vt:lpstr>'1. 예산사용 상세 231123 (40억)'!Print_Area</vt:lpstr>
      <vt:lpstr>'1. 예산사용 상세 231130'!Print_Area</vt:lpstr>
      <vt:lpstr>'1. 예산사용 상세 240318'!Print_Area</vt:lpstr>
      <vt:lpstr>'1. 예산사용 상세 240423'!Print_Area</vt:lpstr>
      <vt:lpstr>'1. 예산사용 상세 240724'!Print_Area</vt:lpstr>
      <vt:lpstr>'1. 예산사용 상세 240822'!Print_Area</vt:lpstr>
      <vt:lpstr>'1. 예산사용 상세 250626'!Print_Area</vt:lpstr>
      <vt:lpstr>'나. 벤포벨'!Print_Area</vt:lpstr>
      <vt:lpstr>'2. 2024년 계획 231130'!Print_Titles</vt:lpstr>
      <vt:lpstr>'2. 2024년 계획 240318'!Print_Titles</vt:lpstr>
      <vt:lpstr>'2. 2024년 계획 240423'!Print_Titles</vt:lpstr>
      <vt:lpstr>'2. 2024년 계획 240724'!Print_Titles</vt:lpstr>
      <vt:lpstr>'2. 2024년 계획 240822'!Print_Titles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sehee</dc:creator>
  <cp:lastModifiedBy>Bellcomm</cp:lastModifiedBy>
  <dcterms:created xsi:type="dcterms:W3CDTF">2023-11-23T07:54:20Z</dcterms:created>
  <dcterms:modified xsi:type="dcterms:W3CDTF">2025-10-02T08:51:27Z</dcterms:modified>
</cp:coreProperties>
</file>