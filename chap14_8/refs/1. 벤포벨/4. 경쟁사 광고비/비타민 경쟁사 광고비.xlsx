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PT_AGENT_2025_BOOK\chap14_8\refs\1. 벤포벨\4. 경쟁사 광고비\"/>
    </mc:Choice>
  </mc:AlternateContent>
  <xr:revisionPtr revIDLastSave="0" documentId="13_ncr:1_{90ABA47B-E401-4AA8-83A2-D300876ACBFA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3" r:id="rId1"/>
    <sheet name="Result" sheetId="1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5" i="3"/>
</calcChain>
</file>

<file path=xl/sharedStrings.xml><?xml version="1.0" encoding="utf-8"?>
<sst xmlns="http://schemas.openxmlformats.org/spreadsheetml/2006/main" count="185" uniqueCount="52">
  <si>
    <t>월별집계가로</t>
  </si>
  <si>
    <t/>
  </si>
  <si>
    <t>2025.01~2025.08[단위:천원]</t>
  </si>
  <si>
    <t>NielsenMedia</t>
  </si>
  <si>
    <t>업종</t>
  </si>
  <si>
    <t>광고주</t>
  </si>
  <si>
    <t>상품</t>
  </si>
  <si>
    <t>매체</t>
  </si>
  <si>
    <t>항목</t>
  </si>
  <si>
    <t>2025.1</t>
  </si>
  <si>
    <t>2025.2</t>
  </si>
  <si>
    <t>2025.3</t>
  </si>
  <si>
    <t>2025.4</t>
  </si>
  <si>
    <t>2025.5</t>
  </si>
  <si>
    <t>2025.6</t>
  </si>
  <si>
    <t>2025.7</t>
  </si>
  <si>
    <t>2025.8</t>
  </si>
  <si>
    <t>계</t>
  </si>
  <si>
    <t>성인종합영양제</t>
  </si>
  <si>
    <t>일동제약</t>
  </si>
  <si>
    <t>아로나민골드</t>
  </si>
  <si>
    <t>지상파</t>
  </si>
  <si>
    <t>금액</t>
  </si>
  <si>
    <t>케이블[NB]</t>
  </si>
  <si>
    <t>종편[NB]</t>
  </si>
  <si>
    <t>디지털동영상</t>
  </si>
  <si>
    <t>아로나민씨플러스</t>
  </si>
  <si>
    <t>GC녹십자</t>
  </si>
  <si>
    <t>GC녹십자비맥스</t>
  </si>
  <si>
    <t>잡지</t>
  </si>
  <si>
    <t>GC녹십자비맥스메타정</t>
  </si>
  <si>
    <t>신문</t>
  </si>
  <si>
    <t>GC녹십자비맥스제트</t>
  </si>
  <si>
    <t>라디오</t>
  </si>
  <si>
    <t>Total</t>
  </si>
  <si>
    <t>2025년 1월</t>
    <phoneticPr fontId="18" type="noConversion"/>
  </si>
  <si>
    <t>2025년 2월</t>
  </si>
  <si>
    <t>2025년 3월</t>
  </si>
  <si>
    <t>2025년 4월</t>
  </si>
  <si>
    <t>2025년 5월</t>
  </si>
  <si>
    <t>2025년 6월</t>
  </si>
  <si>
    <t>2025년 7월</t>
  </si>
  <si>
    <t>비맥스</t>
    <phoneticPr fontId="18" type="noConversion"/>
  </si>
  <si>
    <t>비맥스제트</t>
    <phoneticPr fontId="18" type="noConversion"/>
  </si>
  <si>
    <t>아로나민골드</t>
    <phoneticPr fontId="18" type="noConversion"/>
  </si>
  <si>
    <t>아로나민씨플러스</t>
    <phoneticPr fontId="18" type="noConversion"/>
  </si>
  <si>
    <t>품목</t>
    <phoneticPr fontId="18" type="noConversion"/>
  </si>
  <si>
    <t>매체</t>
    <phoneticPr fontId="18" type="noConversion"/>
  </si>
  <si>
    <t>비타민 경쟁사 광고비</t>
    <phoneticPr fontId="18" type="noConversion"/>
  </si>
  <si>
    <t>단위 : 천원</t>
    <phoneticPr fontId="18" type="noConversion"/>
  </si>
  <si>
    <t>디지털동영상</t>
    <phoneticPr fontId="18" type="noConversion"/>
  </si>
  <si>
    <t>총계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</si>
</sst>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0" xfId="0" applyNumberFormat="1" applyFont="1" applyFill="1" applyBorder="1" applyAlignment="1" applyProtection="1">
      <alignment vertical="center"/>
    </xf>
    <xf numFmtId="0" fontId="19" fillId="0" borderId="10" xfId="0" applyFont="1" applyBorder="1">
      <alignment vertical="center"/>
    </xf>
    <xf numFmtId="41" fontId="0" fillId="0" borderId="10" xfId="42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41" fontId="19" fillId="0" borderId="10" xfId="42" applyFont="1" applyBorder="1">
      <alignment vertical="center"/>
    </xf>
    <xf numFmtId="0" fontId="19" fillId="0" borderId="11" xfId="0" applyFont="1" applyBorder="1">
      <alignment vertical="center"/>
    </xf>
    <xf numFmtId="41" fontId="0" fillId="0" borderId="11" xfId="42" applyFont="1" applyBorder="1">
      <alignment vertical="center"/>
    </xf>
    <xf numFmtId="41" fontId="19" fillId="0" borderId="11" xfId="42" applyFont="1" applyBorder="1">
      <alignment vertical="center"/>
    </xf>
    <xf numFmtId="0" fontId="19" fillId="0" borderId="12" xfId="0" applyFont="1" applyBorder="1">
      <alignment vertical="center"/>
    </xf>
    <xf numFmtId="41" fontId="0" fillId="0" borderId="12" xfId="42" applyFont="1" applyBorder="1">
      <alignment vertical="center"/>
    </xf>
    <xf numFmtId="41" fontId="19" fillId="0" borderId="12" xfId="42" applyFont="1" applyBorder="1">
      <alignment vertical="center"/>
    </xf>
    <xf numFmtId="0" fontId="19" fillId="0" borderId="13" xfId="0" applyFont="1" applyBorder="1">
      <alignment vertical="center"/>
    </xf>
    <xf numFmtId="41" fontId="0" fillId="0" borderId="13" xfId="42" applyFont="1" applyBorder="1">
      <alignment vertical="center"/>
    </xf>
    <xf numFmtId="41" fontId="19" fillId="0" borderId="13" xfId="42" applyFont="1" applyBorder="1">
      <alignment vertical="center"/>
    </xf>
    <xf numFmtId="0" fontId="20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0"/>
  <sheetViews>
    <sheetView showGridLines="0" tabSelected="1" workbookViewId="0">
      <selection activeCell="L10" sqref="L10"/>
    </sheetView>
  </sheetViews>
  <sheetFormatPr defaultRowHeight="16.899999999999999" x14ac:dyDescent="0.6"/>
  <cols>
    <col min="1" max="1" width="17.1875" bestFit="1" customWidth="1"/>
    <col min="2" max="2" width="13.1875" bestFit="1" customWidth="1"/>
    <col min="3" max="10" width="13.6875" bestFit="1" customWidth="1"/>
  </cols>
  <sheetData>
    <row r="2" spans="1:10" ht="24.75" x14ac:dyDescent="0.6">
      <c r="A2" s="17" t="s">
        <v>48</v>
      </c>
    </row>
    <row r="3" spans="1:10" x14ac:dyDescent="0.6">
      <c r="J3" s="6" t="s">
        <v>49</v>
      </c>
    </row>
    <row r="4" spans="1:10" x14ac:dyDescent="0.6">
      <c r="A4" s="4" t="s">
        <v>46</v>
      </c>
      <c r="B4" s="4" t="s">
        <v>47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5" t="s">
        <v>51</v>
      </c>
    </row>
    <row r="5" spans="1:10" x14ac:dyDescent="0.6">
      <c r="A5" s="18" t="s">
        <v>42</v>
      </c>
      <c r="B5" s="2" t="s">
        <v>50</v>
      </c>
      <c r="C5" s="3">
        <v>69193</v>
      </c>
      <c r="D5" s="3">
        <v>19288</v>
      </c>
      <c r="E5" s="3">
        <v>0</v>
      </c>
      <c r="F5" s="3">
        <v>157375</v>
      </c>
      <c r="G5" s="3">
        <v>119583</v>
      </c>
      <c r="H5" s="3">
        <v>73667</v>
      </c>
      <c r="I5" s="3">
        <v>0</v>
      </c>
      <c r="J5" s="7">
        <f>SUM(C5:I5)</f>
        <v>439106</v>
      </c>
    </row>
    <row r="6" spans="1:10" x14ac:dyDescent="0.6">
      <c r="A6" s="18"/>
      <c r="B6" s="2" t="s">
        <v>24</v>
      </c>
      <c r="C6" s="3">
        <v>0</v>
      </c>
      <c r="D6" s="3">
        <v>0</v>
      </c>
      <c r="E6" s="3">
        <v>0</v>
      </c>
      <c r="F6" s="3">
        <v>182208</v>
      </c>
      <c r="G6" s="3">
        <v>199795</v>
      </c>
      <c r="H6" s="3">
        <v>0</v>
      </c>
      <c r="I6" s="3">
        <v>0</v>
      </c>
      <c r="J6" s="7">
        <f t="shared" ref="J6:J20" si="0">SUM(C6:I6)</f>
        <v>382003</v>
      </c>
    </row>
    <row r="7" spans="1:10" x14ac:dyDescent="0.6">
      <c r="A7" s="18"/>
      <c r="B7" s="2" t="s">
        <v>21</v>
      </c>
      <c r="C7" s="3">
        <v>0</v>
      </c>
      <c r="D7" s="3">
        <v>0</v>
      </c>
      <c r="E7" s="3">
        <v>0</v>
      </c>
      <c r="F7" s="3">
        <v>2208346</v>
      </c>
      <c r="G7" s="3">
        <v>2581827</v>
      </c>
      <c r="H7" s="3">
        <v>842994</v>
      </c>
      <c r="I7" s="3">
        <v>0</v>
      </c>
      <c r="J7" s="7">
        <f t="shared" si="0"/>
        <v>5633167</v>
      </c>
    </row>
    <row r="8" spans="1:10" ht="17.25" thickBot="1" x14ac:dyDescent="0.65">
      <c r="A8" s="19"/>
      <c r="B8" s="11" t="s">
        <v>23</v>
      </c>
      <c r="C8" s="12">
        <v>0</v>
      </c>
      <c r="D8" s="12">
        <v>0</v>
      </c>
      <c r="E8" s="12">
        <v>0</v>
      </c>
      <c r="F8" s="12">
        <v>994393</v>
      </c>
      <c r="G8" s="12">
        <v>1074903</v>
      </c>
      <c r="H8" s="12">
        <v>413231</v>
      </c>
      <c r="I8" s="12">
        <v>0</v>
      </c>
      <c r="J8" s="13">
        <f t="shared" si="0"/>
        <v>2482527</v>
      </c>
    </row>
    <row r="9" spans="1:10" ht="17.25" thickTop="1" x14ac:dyDescent="0.6">
      <c r="A9" s="20" t="s">
        <v>43</v>
      </c>
      <c r="B9" s="14" t="s">
        <v>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58745</v>
      </c>
      <c r="I9" s="15">
        <v>0</v>
      </c>
      <c r="J9" s="16">
        <f t="shared" si="0"/>
        <v>58745</v>
      </c>
    </row>
    <row r="10" spans="1:10" x14ac:dyDescent="0.6">
      <c r="A10" s="18"/>
      <c r="B10" s="2" t="s">
        <v>33</v>
      </c>
      <c r="C10" s="3">
        <v>0</v>
      </c>
      <c r="D10" s="3">
        <v>0</v>
      </c>
      <c r="E10" s="3">
        <v>0</v>
      </c>
      <c r="F10" s="3">
        <v>121410</v>
      </c>
      <c r="G10" s="3">
        <v>142105</v>
      </c>
      <c r="H10" s="3">
        <v>219305</v>
      </c>
      <c r="I10" s="3">
        <v>0</v>
      </c>
      <c r="J10" s="7">
        <f t="shared" si="0"/>
        <v>482820</v>
      </c>
    </row>
    <row r="11" spans="1:10" x14ac:dyDescent="0.6">
      <c r="A11" s="18"/>
      <c r="B11" s="2" t="s">
        <v>21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1790911</v>
      </c>
      <c r="I11" s="3">
        <v>0</v>
      </c>
      <c r="J11" s="7">
        <f t="shared" si="0"/>
        <v>1790911</v>
      </c>
    </row>
    <row r="12" spans="1:10" ht="17.25" thickBot="1" x14ac:dyDescent="0.65">
      <c r="A12" s="19"/>
      <c r="B12" s="11" t="s">
        <v>23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742145</v>
      </c>
      <c r="I12" s="12">
        <v>68357</v>
      </c>
      <c r="J12" s="13">
        <f t="shared" si="0"/>
        <v>810502</v>
      </c>
    </row>
    <row r="13" spans="1:10" ht="17.25" thickTop="1" x14ac:dyDescent="0.6">
      <c r="A13" s="20" t="s">
        <v>44</v>
      </c>
      <c r="B13" s="14" t="s">
        <v>25</v>
      </c>
      <c r="C13" s="15">
        <v>0</v>
      </c>
      <c r="D13" s="15">
        <v>10104</v>
      </c>
      <c r="E13" s="15">
        <v>21405</v>
      </c>
      <c r="F13" s="15">
        <v>40433</v>
      </c>
      <c r="G13" s="15">
        <v>73174</v>
      </c>
      <c r="H13" s="15">
        <v>109505</v>
      </c>
      <c r="I13" s="15">
        <v>0</v>
      </c>
      <c r="J13" s="16">
        <f t="shared" si="0"/>
        <v>254621</v>
      </c>
    </row>
    <row r="14" spans="1:10" x14ac:dyDescent="0.6">
      <c r="A14" s="18"/>
      <c r="B14" s="2" t="s">
        <v>24</v>
      </c>
      <c r="C14" s="3">
        <v>0</v>
      </c>
      <c r="D14" s="3">
        <v>354687</v>
      </c>
      <c r="E14" s="3">
        <v>1057874</v>
      </c>
      <c r="F14" s="3">
        <v>641227</v>
      </c>
      <c r="G14" s="3">
        <v>702290</v>
      </c>
      <c r="H14" s="3">
        <v>667980</v>
      </c>
      <c r="I14" s="3">
        <v>0</v>
      </c>
      <c r="J14" s="7">
        <f t="shared" si="0"/>
        <v>3424058</v>
      </c>
    </row>
    <row r="15" spans="1:10" x14ac:dyDescent="0.6">
      <c r="A15" s="18"/>
      <c r="B15" s="2" t="s">
        <v>21</v>
      </c>
      <c r="C15" s="3">
        <v>0</v>
      </c>
      <c r="D15" s="3">
        <v>794511</v>
      </c>
      <c r="E15" s="3">
        <v>3674355</v>
      </c>
      <c r="F15" s="3">
        <v>2004245</v>
      </c>
      <c r="G15" s="3">
        <v>1891450</v>
      </c>
      <c r="H15" s="3">
        <v>1179985</v>
      </c>
      <c r="I15" s="3">
        <v>0</v>
      </c>
      <c r="J15" s="7">
        <f t="shared" si="0"/>
        <v>9544546</v>
      </c>
    </row>
    <row r="16" spans="1:10" ht="17.25" thickBot="1" x14ac:dyDescent="0.65">
      <c r="A16" s="19"/>
      <c r="B16" s="11" t="s">
        <v>23</v>
      </c>
      <c r="C16" s="12">
        <v>0</v>
      </c>
      <c r="D16" s="12">
        <v>846864</v>
      </c>
      <c r="E16" s="12">
        <v>1162972</v>
      </c>
      <c r="F16" s="12">
        <v>1686226</v>
      </c>
      <c r="G16" s="12">
        <v>1358743</v>
      </c>
      <c r="H16" s="12">
        <v>1403174</v>
      </c>
      <c r="I16" s="12">
        <v>69533</v>
      </c>
      <c r="J16" s="13">
        <f t="shared" si="0"/>
        <v>6527512</v>
      </c>
    </row>
    <row r="17" spans="1:10" ht="17.25" thickTop="1" x14ac:dyDescent="0.6">
      <c r="A17" s="21" t="s">
        <v>45</v>
      </c>
      <c r="B17" s="8" t="s">
        <v>25</v>
      </c>
      <c r="C17" s="9">
        <v>0</v>
      </c>
      <c r="D17" s="9">
        <v>0</v>
      </c>
      <c r="E17" s="9">
        <v>0</v>
      </c>
      <c r="F17" s="9">
        <v>0</v>
      </c>
      <c r="G17" s="9">
        <v>22289</v>
      </c>
      <c r="H17" s="9">
        <v>19599</v>
      </c>
      <c r="I17" s="9">
        <v>0</v>
      </c>
      <c r="J17" s="10">
        <f t="shared" si="0"/>
        <v>41888</v>
      </c>
    </row>
    <row r="18" spans="1:10" x14ac:dyDescent="0.6">
      <c r="A18" s="18"/>
      <c r="B18" s="2" t="s">
        <v>24</v>
      </c>
      <c r="C18" s="3">
        <v>0</v>
      </c>
      <c r="D18" s="3">
        <v>0</v>
      </c>
      <c r="E18" s="3">
        <v>0</v>
      </c>
      <c r="F18" s="3">
        <v>0</v>
      </c>
      <c r="G18" s="3">
        <v>539758</v>
      </c>
      <c r="H18" s="3">
        <v>611158</v>
      </c>
      <c r="I18" s="3">
        <v>740076</v>
      </c>
      <c r="J18" s="7">
        <f t="shared" si="0"/>
        <v>1890992</v>
      </c>
    </row>
    <row r="19" spans="1:10" x14ac:dyDescent="0.6">
      <c r="A19" s="18"/>
      <c r="B19" s="2" t="s">
        <v>21</v>
      </c>
      <c r="C19" s="3">
        <v>0</v>
      </c>
      <c r="D19" s="3">
        <v>0</v>
      </c>
      <c r="E19" s="3">
        <v>0</v>
      </c>
      <c r="F19" s="3">
        <v>0</v>
      </c>
      <c r="G19" s="3">
        <v>1734089</v>
      </c>
      <c r="H19" s="3">
        <v>1431313</v>
      </c>
      <c r="I19" s="3">
        <v>758883</v>
      </c>
      <c r="J19" s="7">
        <f t="shared" si="0"/>
        <v>3924285</v>
      </c>
    </row>
    <row r="20" spans="1:10" x14ac:dyDescent="0.6">
      <c r="A20" s="18"/>
      <c r="B20" s="2" t="s">
        <v>23</v>
      </c>
      <c r="C20" s="3">
        <v>0</v>
      </c>
      <c r="D20" s="3">
        <v>0</v>
      </c>
      <c r="E20" s="3">
        <v>0</v>
      </c>
      <c r="F20" s="3">
        <v>0</v>
      </c>
      <c r="G20" s="3">
        <v>472228</v>
      </c>
      <c r="H20" s="3">
        <v>520203</v>
      </c>
      <c r="I20" s="3">
        <v>533005</v>
      </c>
      <c r="J20" s="7">
        <f t="shared" si="0"/>
        <v>1525436</v>
      </c>
    </row>
  </sheetData>
  <mergeCells count="4">
    <mergeCell ref="A5:A8"/>
    <mergeCell ref="A9:A12"/>
    <mergeCell ref="A13:A16"/>
    <mergeCell ref="A17:A20"/>
  </mergeCells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selection activeCell="A2" sqref="A2"/>
    </sheetView>
  </sheetViews>
  <sheetFormatPr defaultColWidth="16.6875" defaultRowHeight="16.899999999999999" x14ac:dyDescent="0.6"/>
  <sheetData>
    <row r="1" spans="1:14" x14ac:dyDescent="0.6">
      <c r="A1" t="s">
        <v>0</v>
      </c>
      <c r="B1" t="s">
        <v>1</v>
      </c>
      <c r="C1" t="s">
        <v>2</v>
      </c>
      <c r="D1" t="s">
        <v>3</v>
      </c>
    </row>
    <row r="2" spans="1:14" x14ac:dyDescent="0.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6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0</v>
      </c>
      <c r="G3" s="1">
        <v>794511</v>
      </c>
      <c r="H3" s="1">
        <v>3674355</v>
      </c>
      <c r="I3" s="1">
        <v>2004245</v>
      </c>
      <c r="J3" s="1">
        <v>1891450</v>
      </c>
      <c r="K3" s="1">
        <v>1179985</v>
      </c>
      <c r="L3" s="1">
        <v>0</v>
      </c>
      <c r="M3" s="1">
        <v>0</v>
      </c>
      <c r="N3" s="1">
        <v>9544546</v>
      </c>
    </row>
    <row r="4" spans="1:14" x14ac:dyDescent="0.6">
      <c r="A4" s="1" t="s">
        <v>18</v>
      </c>
      <c r="B4" s="1" t="s">
        <v>19</v>
      </c>
      <c r="C4" s="1" t="s">
        <v>20</v>
      </c>
      <c r="D4" s="1" t="s">
        <v>23</v>
      </c>
      <c r="E4" s="1" t="s">
        <v>22</v>
      </c>
      <c r="F4" s="1">
        <v>0</v>
      </c>
      <c r="G4" s="1">
        <v>846864</v>
      </c>
      <c r="H4" s="1">
        <v>1162972</v>
      </c>
      <c r="I4" s="1">
        <v>1686226</v>
      </c>
      <c r="J4" s="1">
        <v>1358743</v>
      </c>
      <c r="K4" s="1">
        <v>1403174</v>
      </c>
      <c r="L4" s="1">
        <v>69533</v>
      </c>
      <c r="M4" s="1">
        <v>0</v>
      </c>
      <c r="N4" s="1">
        <v>6527512</v>
      </c>
    </row>
    <row r="5" spans="1:14" x14ac:dyDescent="0.6">
      <c r="A5" s="1" t="s">
        <v>18</v>
      </c>
      <c r="B5" s="1" t="s">
        <v>19</v>
      </c>
      <c r="C5" s="1" t="s">
        <v>20</v>
      </c>
      <c r="D5" s="1" t="s">
        <v>24</v>
      </c>
      <c r="E5" s="1" t="s">
        <v>22</v>
      </c>
      <c r="F5" s="1">
        <v>0</v>
      </c>
      <c r="G5" s="1">
        <v>354687</v>
      </c>
      <c r="H5" s="1">
        <v>1057874</v>
      </c>
      <c r="I5" s="1">
        <v>641227</v>
      </c>
      <c r="J5" s="1">
        <v>702290</v>
      </c>
      <c r="K5" s="1">
        <v>667980</v>
      </c>
      <c r="L5" s="1">
        <v>0</v>
      </c>
      <c r="M5" s="1">
        <v>0</v>
      </c>
      <c r="N5" s="1">
        <v>3424058</v>
      </c>
    </row>
    <row r="6" spans="1:14" x14ac:dyDescent="0.6">
      <c r="A6" s="1" t="s">
        <v>18</v>
      </c>
      <c r="B6" s="1" t="s">
        <v>19</v>
      </c>
      <c r="C6" s="1" t="s">
        <v>20</v>
      </c>
      <c r="D6" s="1" t="s">
        <v>25</v>
      </c>
      <c r="E6" s="1" t="s">
        <v>22</v>
      </c>
      <c r="F6" s="1">
        <v>0</v>
      </c>
      <c r="G6" s="1">
        <v>10104</v>
      </c>
      <c r="H6" s="1">
        <v>21405</v>
      </c>
      <c r="I6" s="1">
        <v>40433</v>
      </c>
      <c r="J6" s="1">
        <v>73174</v>
      </c>
      <c r="K6" s="1">
        <v>109505</v>
      </c>
      <c r="L6" s="1">
        <v>0</v>
      </c>
      <c r="M6" s="1">
        <v>0</v>
      </c>
      <c r="N6" s="1">
        <v>254621</v>
      </c>
    </row>
    <row r="7" spans="1:14" x14ac:dyDescent="0.6">
      <c r="A7" s="1" t="s">
        <v>18</v>
      </c>
      <c r="B7" s="1" t="s">
        <v>19</v>
      </c>
      <c r="C7" s="1" t="s">
        <v>26</v>
      </c>
      <c r="D7" s="1" t="s">
        <v>21</v>
      </c>
      <c r="E7" s="1" t="s">
        <v>22</v>
      </c>
      <c r="F7" s="1">
        <v>0</v>
      </c>
      <c r="G7" s="1">
        <v>0</v>
      </c>
      <c r="H7" s="1">
        <v>0</v>
      </c>
      <c r="I7" s="1">
        <v>0</v>
      </c>
      <c r="J7" s="1">
        <v>1734089</v>
      </c>
      <c r="K7" s="1">
        <v>1431313</v>
      </c>
      <c r="L7" s="1">
        <v>758883</v>
      </c>
      <c r="M7" s="1">
        <v>0</v>
      </c>
      <c r="N7" s="1">
        <v>3924285</v>
      </c>
    </row>
    <row r="8" spans="1:14" x14ac:dyDescent="0.6">
      <c r="A8" s="1" t="s">
        <v>18</v>
      </c>
      <c r="B8" s="1" t="s">
        <v>19</v>
      </c>
      <c r="C8" s="1" t="s">
        <v>26</v>
      </c>
      <c r="D8" s="1" t="s">
        <v>23</v>
      </c>
      <c r="E8" s="1" t="s">
        <v>22</v>
      </c>
      <c r="F8" s="1">
        <v>0</v>
      </c>
      <c r="G8" s="1">
        <v>0</v>
      </c>
      <c r="H8" s="1">
        <v>0</v>
      </c>
      <c r="I8" s="1">
        <v>0</v>
      </c>
      <c r="J8" s="1">
        <v>472228</v>
      </c>
      <c r="K8" s="1">
        <v>520203</v>
      </c>
      <c r="L8" s="1">
        <v>533005</v>
      </c>
      <c r="M8" s="1">
        <v>0</v>
      </c>
      <c r="N8" s="1">
        <v>1525436</v>
      </c>
    </row>
    <row r="9" spans="1:14" x14ac:dyDescent="0.6">
      <c r="A9" s="1" t="s">
        <v>18</v>
      </c>
      <c r="B9" s="1" t="s">
        <v>19</v>
      </c>
      <c r="C9" s="1" t="s">
        <v>26</v>
      </c>
      <c r="D9" s="1" t="s">
        <v>24</v>
      </c>
      <c r="E9" s="1" t="s">
        <v>22</v>
      </c>
      <c r="F9" s="1">
        <v>0</v>
      </c>
      <c r="G9" s="1">
        <v>0</v>
      </c>
      <c r="H9" s="1">
        <v>0</v>
      </c>
      <c r="I9" s="1">
        <v>0</v>
      </c>
      <c r="J9" s="1">
        <v>539758</v>
      </c>
      <c r="K9" s="1">
        <v>611158</v>
      </c>
      <c r="L9" s="1">
        <v>740076</v>
      </c>
      <c r="M9" s="1">
        <v>0</v>
      </c>
      <c r="N9" s="1">
        <v>1890992</v>
      </c>
    </row>
    <row r="10" spans="1:14" x14ac:dyDescent="0.6">
      <c r="A10" s="1" t="s">
        <v>18</v>
      </c>
      <c r="B10" s="1" t="s">
        <v>19</v>
      </c>
      <c r="C10" s="1" t="s">
        <v>26</v>
      </c>
      <c r="D10" s="1" t="s">
        <v>25</v>
      </c>
      <c r="E10" s="1" t="s">
        <v>22</v>
      </c>
      <c r="F10" s="1">
        <v>0</v>
      </c>
      <c r="G10" s="1">
        <v>0</v>
      </c>
      <c r="H10" s="1">
        <v>0</v>
      </c>
      <c r="I10" s="1">
        <v>0</v>
      </c>
      <c r="J10" s="1">
        <v>22289</v>
      </c>
      <c r="K10" s="1">
        <v>19599</v>
      </c>
      <c r="L10" s="1">
        <v>0</v>
      </c>
      <c r="M10" s="1">
        <v>0</v>
      </c>
      <c r="N10" s="1">
        <v>41888</v>
      </c>
    </row>
    <row r="11" spans="1:14" x14ac:dyDescent="0.6">
      <c r="A11" s="1" t="s">
        <v>18</v>
      </c>
      <c r="B11" s="1" t="s">
        <v>27</v>
      </c>
      <c r="C11" s="1" t="s">
        <v>28</v>
      </c>
      <c r="D11" s="1" t="s">
        <v>21</v>
      </c>
      <c r="E11" s="1" t="s">
        <v>22</v>
      </c>
      <c r="F11" s="1">
        <v>0</v>
      </c>
      <c r="G11" s="1">
        <v>0</v>
      </c>
      <c r="H11" s="1">
        <v>0</v>
      </c>
      <c r="I11" s="1">
        <v>2208346</v>
      </c>
      <c r="J11" s="1">
        <v>2581827</v>
      </c>
      <c r="K11" s="1">
        <v>842994</v>
      </c>
      <c r="L11" s="1">
        <v>0</v>
      </c>
      <c r="M11" s="1">
        <v>0</v>
      </c>
      <c r="N11" s="1">
        <v>5633167</v>
      </c>
    </row>
    <row r="12" spans="1:14" x14ac:dyDescent="0.6">
      <c r="A12" s="1" t="s">
        <v>18</v>
      </c>
      <c r="B12" s="1" t="s">
        <v>27</v>
      </c>
      <c r="C12" s="1" t="s">
        <v>28</v>
      </c>
      <c r="D12" s="1" t="s">
        <v>29</v>
      </c>
      <c r="E12" s="1" t="s">
        <v>22</v>
      </c>
      <c r="F12" s="1">
        <v>0</v>
      </c>
      <c r="G12" s="1">
        <v>4500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4500</v>
      </c>
    </row>
    <row r="13" spans="1:14" x14ac:dyDescent="0.6">
      <c r="A13" s="1" t="s">
        <v>18</v>
      </c>
      <c r="B13" s="1" t="s">
        <v>27</v>
      </c>
      <c r="C13" s="1" t="s">
        <v>28</v>
      </c>
      <c r="D13" s="1" t="s">
        <v>23</v>
      </c>
      <c r="E13" s="1" t="s">
        <v>22</v>
      </c>
      <c r="F13" s="1">
        <v>0</v>
      </c>
      <c r="G13" s="1">
        <v>0</v>
      </c>
      <c r="H13" s="1">
        <v>0</v>
      </c>
      <c r="I13" s="1">
        <v>994393</v>
      </c>
      <c r="J13" s="1">
        <v>1074903</v>
      </c>
      <c r="K13" s="1">
        <v>413231</v>
      </c>
      <c r="L13" s="1">
        <v>0</v>
      </c>
      <c r="M13" s="1">
        <v>0</v>
      </c>
      <c r="N13" s="1">
        <v>2482527</v>
      </c>
    </row>
    <row r="14" spans="1:14" x14ac:dyDescent="0.6">
      <c r="A14" s="1" t="s">
        <v>18</v>
      </c>
      <c r="B14" s="1" t="s">
        <v>27</v>
      </c>
      <c r="C14" s="1" t="s">
        <v>28</v>
      </c>
      <c r="D14" s="1" t="s">
        <v>24</v>
      </c>
      <c r="E14" s="1" t="s">
        <v>22</v>
      </c>
      <c r="F14" s="1">
        <v>0</v>
      </c>
      <c r="G14" s="1">
        <v>0</v>
      </c>
      <c r="H14" s="1">
        <v>0</v>
      </c>
      <c r="I14" s="1">
        <v>182208</v>
      </c>
      <c r="J14" s="1">
        <v>199795</v>
      </c>
      <c r="K14" s="1">
        <v>0</v>
      </c>
      <c r="L14" s="1">
        <v>0</v>
      </c>
      <c r="M14" s="1">
        <v>0</v>
      </c>
      <c r="N14" s="1">
        <v>382003</v>
      </c>
    </row>
    <row r="15" spans="1:14" x14ac:dyDescent="0.6">
      <c r="A15" s="1" t="s">
        <v>18</v>
      </c>
      <c r="B15" s="1" t="s">
        <v>27</v>
      </c>
      <c r="C15" s="1" t="s">
        <v>28</v>
      </c>
      <c r="D15" s="1" t="s">
        <v>25</v>
      </c>
      <c r="E15" s="1" t="s">
        <v>22</v>
      </c>
      <c r="F15" s="1">
        <v>69193</v>
      </c>
      <c r="G15" s="1">
        <v>19288</v>
      </c>
      <c r="H15" s="1">
        <v>0</v>
      </c>
      <c r="I15" s="1">
        <v>157375</v>
      </c>
      <c r="J15" s="1">
        <v>119583</v>
      </c>
      <c r="K15" s="1">
        <v>73667</v>
      </c>
      <c r="L15" s="1">
        <v>0</v>
      </c>
      <c r="M15" s="1">
        <v>0</v>
      </c>
      <c r="N15" s="1">
        <v>439106</v>
      </c>
    </row>
    <row r="16" spans="1:14" x14ac:dyDescent="0.6">
      <c r="A16" s="1" t="s">
        <v>18</v>
      </c>
      <c r="B16" s="1" t="s">
        <v>27</v>
      </c>
      <c r="C16" s="1" t="s">
        <v>30</v>
      </c>
      <c r="D16" s="1" t="s">
        <v>31</v>
      </c>
      <c r="E16" s="1" t="s">
        <v>22</v>
      </c>
      <c r="F16" s="1">
        <v>52860</v>
      </c>
      <c r="G16" s="1">
        <v>45525</v>
      </c>
      <c r="H16" s="1">
        <v>60474</v>
      </c>
      <c r="I16" s="1">
        <v>42252</v>
      </c>
      <c r="J16" s="1">
        <v>34388</v>
      </c>
      <c r="K16" s="1">
        <v>55287</v>
      </c>
      <c r="L16" s="1">
        <v>28233</v>
      </c>
      <c r="M16" s="1">
        <v>0</v>
      </c>
      <c r="N16" s="1">
        <v>319019</v>
      </c>
    </row>
    <row r="17" spans="1:14" x14ac:dyDescent="0.6">
      <c r="A17" s="1" t="s">
        <v>18</v>
      </c>
      <c r="B17" s="1" t="s">
        <v>27</v>
      </c>
      <c r="C17" s="1" t="s">
        <v>30</v>
      </c>
      <c r="D17" s="1" t="s">
        <v>29</v>
      </c>
      <c r="E17" s="1" t="s">
        <v>22</v>
      </c>
      <c r="F17" s="1">
        <v>4000</v>
      </c>
      <c r="G17" s="1">
        <v>8300</v>
      </c>
      <c r="H17" s="1">
        <v>7000</v>
      </c>
      <c r="I17" s="1">
        <v>11000</v>
      </c>
      <c r="J17" s="1">
        <v>6800</v>
      </c>
      <c r="K17" s="1">
        <v>8200</v>
      </c>
      <c r="L17" s="1">
        <v>10500</v>
      </c>
      <c r="M17" s="1">
        <v>0</v>
      </c>
      <c r="N17" s="1">
        <v>55800</v>
      </c>
    </row>
    <row r="18" spans="1:14" x14ac:dyDescent="0.6">
      <c r="A18" s="1" t="s">
        <v>18</v>
      </c>
      <c r="B18" s="1" t="s">
        <v>27</v>
      </c>
      <c r="C18" s="1" t="s">
        <v>32</v>
      </c>
      <c r="D18" s="1" t="s">
        <v>21</v>
      </c>
      <c r="E18" s="1" t="s">
        <v>22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1790911</v>
      </c>
      <c r="L18" s="1">
        <v>0</v>
      </c>
      <c r="M18" s="1">
        <v>0</v>
      </c>
      <c r="N18" s="1">
        <v>1790911</v>
      </c>
    </row>
    <row r="19" spans="1:14" x14ac:dyDescent="0.6">
      <c r="A19" s="1" t="s">
        <v>18</v>
      </c>
      <c r="B19" s="1" t="s">
        <v>27</v>
      </c>
      <c r="C19" s="1" t="s">
        <v>32</v>
      </c>
      <c r="D19" s="1" t="s">
        <v>33</v>
      </c>
      <c r="E19" s="1" t="s">
        <v>22</v>
      </c>
      <c r="F19" s="1">
        <v>0</v>
      </c>
      <c r="G19" s="1">
        <v>0</v>
      </c>
      <c r="H19" s="1">
        <v>0</v>
      </c>
      <c r="I19" s="1">
        <v>121410</v>
      </c>
      <c r="J19" s="1">
        <v>142105</v>
      </c>
      <c r="K19" s="1">
        <v>219305</v>
      </c>
      <c r="L19" s="1">
        <v>0</v>
      </c>
      <c r="M19" s="1">
        <v>0</v>
      </c>
      <c r="N19" s="1">
        <v>482820</v>
      </c>
    </row>
    <row r="20" spans="1:14" x14ac:dyDescent="0.6">
      <c r="A20" s="1" t="s">
        <v>18</v>
      </c>
      <c r="B20" s="1" t="s">
        <v>27</v>
      </c>
      <c r="C20" s="1" t="s">
        <v>32</v>
      </c>
      <c r="D20" s="1" t="s">
        <v>23</v>
      </c>
      <c r="E20" s="1" t="s">
        <v>22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742145</v>
      </c>
      <c r="L20" s="1">
        <v>68357</v>
      </c>
      <c r="M20" s="1">
        <v>0</v>
      </c>
      <c r="N20" s="1">
        <v>810502</v>
      </c>
    </row>
    <row r="21" spans="1:14" x14ac:dyDescent="0.6">
      <c r="A21" s="1" t="s">
        <v>18</v>
      </c>
      <c r="B21" s="1" t="s">
        <v>27</v>
      </c>
      <c r="C21" s="1" t="s">
        <v>32</v>
      </c>
      <c r="D21" s="1" t="s">
        <v>25</v>
      </c>
      <c r="E21" s="1" t="s">
        <v>22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58745</v>
      </c>
      <c r="L21" s="1">
        <v>0</v>
      </c>
      <c r="M21" s="1">
        <v>0</v>
      </c>
      <c r="N21" s="1">
        <v>58745</v>
      </c>
    </row>
    <row r="22" spans="1:14" x14ac:dyDescent="0.6">
      <c r="A22" s="1" t="s">
        <v>34</v>
      </c>
      <c r="B22" s="1" t="s">
        <v>1</v>
      </c>
      <c r="C22" s="1" t="s">
        <v>1</v>
      </c>
      <c r="D22" s="1" t="s">
        <v>21</v>
      </c>
      <c r="E22" s="1" t="s">
        <v>22</v>
      </c>
      <c r="F22" s="1">
        <v>0</v>
      </c>
      <c r="G22" s="1">
        <v>794511</v>
      </c>
      <c r="H22" s="1">
        <v>3674355</v>
      </c>
      <c r="I22" s="1">
        <v>4212591</v>
      </c>
      <c r="J22" s="1">
        <v>6207366</v>
      </c>
      <c r="K22" s="1">
        <v>5245203</v>
      </c>
      <c r="L22" s="1">
        <v>758883</v>
      </c>
      <c r="M22" s="1">
        <v>0</v>
      </c>
      <c r="N22" s="1">
        <v>20892909</v>
      </c>
    </row>
    <row r="23" spans="1:14" x14ac:dyDescent="0.6">
      <c r="A23" s="1" t="s">
        <v>34</v>
      </c>
      <c r="B23" s="1" t="s">
        <v>1</v>
      </c>
      <c r="C23" s="1" t="s">
        <v>1</v>
      </c>
      <c r="D23" s="1" t="s">
        <v>33</v>
      </c>
      <c r="E23" s="1" t="s">
        <v>22</v>
      </c>
      <c r="F23" s="1">
        <v>0</v>
      </c>
      <c r="G23" s="1">
        <v>0</v>
      </c>
      <c r="H23" s="1">
        <v>0</v>
      </c>
      <c r="I23" s="1">
        <v>121410</v>
      </c>
      <c r="J23" s="1">
        <v>142105</v>
      </c>
      <c r="K23" s="1">
        <v>219305</v>
      </c>
      <c r="L23" s="1">
        <v>0</v>
      </c>
      <c r="M23" s="1">
        <v>0</v>
      </c>
      <c r="N23" s="1">
        <v>482820</v>
      </c>
    </row>
    <row r="24" spans="1:14" x14ac:dyDescent="0.6">
      <c r="A24" s="1" t="s">
        <v>34</v>
      </c>
      <c r="B24" s="1" t="s">
        <v>1</v>
      </c>
      <c r="C24" s="1" t="s">
        <v>1</v>
      </c>
      <c r="D24" s="1" t="s">
        <v>31</v>
      </c>
      <c r="E24" s="1" t="s">
        <v>22</v>
      </c>
      <c r="F24" s="1">
        <v>52860</v>
      </c>
      <c r="G24" s="1">
        <v>45525</v>
      </c>
      <c r="H24" s="1">
        <v>60474</v>
      </c>
      <c r="I24" s="1">
        <v>42252</v>
      </c>
      <c r="J24" s="1">
        <v>34388</v>
      </c>
      <c r="K24" s="1">
        <v>55287</v>
      </c>
      <c r="L24" s="1">
        <v>28233</v>
      </c>
      <c r="M24" s="1">
        <v>0</v>
      </c>
      <c r="N24" s="1">
        <v>319019</v>
      </c>
    </row>
    <row r="25" spans="1:14" x14ac:dyDescent="0.6">
      <c r="A25" s="1" t="s">
        <v>34</v>
      </c>
      <c r="B25" s="1" t="s">
        <v>1</v>
      </c>
      <c r="C25" s="1" t="s">
        <v>1</v>
      </c>
      <c r="D25" s="1" t="s">
        <v>29</v>
      </c>
      <c r="E25" s="1" t="s">
        <v>22</v>
      </c>
      <c r="F25" s="1">
        <v>4000</v>
      </c>
      <c r="G25" s="1">
        <v>12800</v>
      </c>
      <c r="H25" s="1">
        <v>7000</v>
      </c>
      <c r="I25" s="1">
        <v>11000</v>
      </c>
      <c r="J25" s="1">
        <v>6800</v>
      </c>
      <c r="K25" s="1">
        <v>8200</v>
      </c>
      <c r="L25" s="1">
        <v>10500</v>
      </c>
      <c r="M25" s="1">
        <v>0</v>
      </c>
      <c r="N25" s="1">
        <v>60300</v>
      </c>
    </row>
    <row r="26" spans="1:14" x14ac:dyDescent="0.6">
      <c r="A26" s="1" t="s">
        <v>34</v>
      </c>
      <c r="B26" s="1" t="s">
        <v>1</v>
      </c>
      <c r="C26" s="1" t="s">
        <v>1</v>
      </c>
      <c r="D26" s="1" t="s">
        <v>23</v>
      </c>
      <c r="E26" s="1" t="s">
        <v>22</v>
      </c>
      <c r="F26" s="1">
        <v>0</v>
      </c>
      <c r="G26" s="1">
        <v>846864</v>
      </c>
      <c r="H26" s="1">
        <v>1162972</v>
      </c>
      <c r="I26" s="1">
        <v>2680619</v>
      </c>
      <c r="J26" s="1">
        <v>2905874</v>
      </c>
      <c r="K26" s="1">
        <v>3078753</v>
      </c>
      <c r="L26" s="1">
        <v>670895</v>
      </c>
      <c r="M26" s="1">
        <v>0</v>
      </c>
      <c r="N26" s="1">
        <v>11345977</v>
      </c>
    </row>
    <row r="27" spans="1:14" x14ac:dyDescent="0.6">
      <c r="A27" s="1" t="s">
        <v>34</v>
      </c>
      <c r="B27" s="1" t="s">
        <v>1</v>
      </c>
      <c r="C27" s="1" t="s">
        <v>1</v>
      </c>
      <c r="D27" s="1" t="s">
        <v>24</v>
      </c>
      <c r="E27" s="1" t="s">
        <v>22</v>
      </c>
      <c r="F27" s="1">
        <v>0</v>
      </c>
      <c r="G27" s="1">
        <v>354687</v>
      </c>
      <c r="H27" s="1">
        <v>1057874</v>
      </c>
      <c r="I27" s="1">
        <v>823435</v>
      </c>
      <c r="J27" s="1">
        <v>1441843</v>
      </c>
      <c r="K27" s="1">
        <v>1279138</v>
      </c>
      <c r="L27" s="1">
        <v>740076</v>
      </c>
      <c r="M27" s="1">
        <v>0</v>
      </c>
      <c r="N27" s="1">
        <v>5697053</v>
      </c>
    </row>
    <row r="28" spans="1:14" x14ac:dyDescent="0.6">
      <c r="A28" s="1" t="s">
        <v>34</v>
      </c>
      <c r="B28" s="1" t="s">
        <v>1</v>
      </c>
      <c r="C28" s="1" t="s">
        <v>1</v>
      </c>
      <c r="D28" s="1" t="s">
        <v>25</v>
      </c>
      <c r="E28" s="1" t="s">
        <v>22</v>
      </c>
      <c r="F28" s="1">
        <v>69193</v>
      </c>
      <c r="G28" s="1">
        <v>29392</v>
      </c>
      <c r="H28" s="1">
        <v>21405</v>
      </c>
      <c r="I28" s="1">
        <v>197808</v>
      </c>
      <c r="J28" s="1">
        <v>215046</v>
      </c>
      <c r="K28" s="1">
        <v>261516</v>
      </c>
      <c r="L28" s="1">
        <v>0</v>
      </c>
      <c r="M28" s="1">
        <v>0</v>
      </c>
      <c r="N28" s="1">
        <v>794360</v>
      </c>
    </row>
    <row r="29" spans="1:14" x14ac:dyDescent="0.6">
      <c r="A29" s="1" t="s">
        <v>34</v>
      </c>
      <c r="B29" s="1" t="s">
        <v>1</v>
      </c>
      <c r="C29" s="1" t="s">
        <v>1</v>
      </c>
      <c r="D29" s="1" t="s">
        <v>1</v>
      </c>
      <c r="E29" s="1" t="s">
        <v>22</v>
      </c>
      <c r="F29" s="1">
        <v>126053</v>
      </c>
      <c r="G29" s="1">
        <v>2083779</v>
      </c>
      <c r="H29" s="1">
        <v>5984080</v>
      </c>
      <c r="I29" s="1">
        <v>8089115</v>
      </c>
      <c r="J29" s="1">
        <v>10953422</v>
      </c>
      <c r="K29" s="1">
        <v>10147402</v>
      </c>
      <c r="L29" s="1">
        <v>2208587</v>
      </c>
      <c r="M29" s="1">
        <v>0</v>
      </c>
      <c r="N29" s="1">
        <v>39592438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serpiko</dc:creator>
  <cp:lastModifiedBy>Bellcom</cp:lastModifiedBy>
  <dcterms:created xsi:type="dcterms:W3CDTF">2025-08-29T01:34:38Z</dcterms:created>
  <dcterms:modified xsi:type="dcterms:W3CDTF">2025-11-02T03:02:40Z</dcterms:modified>
</cp:coreProperties>
</file>