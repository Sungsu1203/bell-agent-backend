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M2팀\06. 종근당 벤포벨\★2023년 벤포벨(MJ XIXI)\00. 예산\"/>
    </mc:Choice>
  </mc:AlternateContent>
  <xr:revisionPtr revIDLastSave="0" documentId="13_ncr:1_{B4D52576-2117-4088-A62F-D26D1DCAC152}" xr6:coauthVersionLast="36" xr6:coauthVersionMax="36" xr10:uidLastSave="{00000000-0000-0000-0000-000000000000}"/>
  <bookViews>
    <workbookView xWindow="0" yWindow="0" windowWidth="17256" windowHeight="5244" xr2:uid="{57448E89-6171-4D5E-9A72-6FA1A1B2942F}"/>
  </bookViews>
  <sheets>
    <sheet name="1. 예산사용 상세 231222" sheetId="15" r:id="rId1"/>
    <sheet name="1. 예산사용 상세 231017" sheetId="14" r:id="rId2"/>
    <sheet name="1. 예산사용 상세 230818" sheetId="11" state="hidden" r:id="rId3"/>
    <sheet name="1. 예산사용 상세 230628" sheetId="9" state="hidden" r:id="rId4"/>
    <sheet name="1. 예산사용 상세 230424" sheetId="7" state="hidden" r:id="rId5"/>
    <sheet name="1. 예산사용 상세 230406" sheetId="6" state="hidden" r:id="rId6"/>
    <sheet name="1. 예산사용 상세 230314" sheetId="1" state="hidden" r:id="rId7"/>
    <sheet name="1. 예산사용 상세 230118" sheetId="3" state="hidden" r:id="rId8"/>
    <sheet name="2. 2022년 계획 231222" sheetId="16" r:id="rId9"/>
    <sheet name="2. 2022년 계획 231017" sheetId="13" r:id="rId10"/>
    <sheet name="2. 2022년 계획 230818" sheetId="12" state="hidden" r:id="rId11"/>
    <sheet name="2. 2022년 계획 230628" sheetId="10" state="hidden" r:id="rId12"/>
    <sheet name="2. 2022년 계획 230424" sheetId="8" state="hidden" r:id="rId13"/>
    <sheet name="2. 2022년 계획 230406" sheetId="5" state="hidden" r:id="rId14"/>
    <sheet name="2. 2022년 계획 230314" sheetId="2" state="hidden" r:id="rId15"/>
    <sheet name="2. 2022년 계획 230118" sheetId="4" state="hidden" r:id="rId16"/>
  </sheets>
  <definedNames>
    <definedName name="_xlnm.Print_Area" localSheetId="7">'1. 예산사용 상세 230118'!$A$1:$R$89</definedName>
    <definedName name="_xlnm.Print_Area" localSheetId="6">'1. 예산사용 상세 230314'!$A$1:$R$89</definedName>
    <definedName name="_xlnm.Print_Area" localSheetId="5">'1. 예산사용 상세 230406'!$A$1:$R$89</definedName>
    <definedName name="_xlnm.Print_Area" localSheetId="4">'1. 예산사용 상세 230424'!$A$1:$R$89</definedName>
    <definedName name="_xlnm.Print_Area" localSheetId="3">'1. 예산사용 상세 230628'!$A$1:$R$89</definedName>
    <definedName name="_xlnm.Print_Area" localSheetId="2">'1. 예산사용 상세 230818'!$A$1:$R$89</definedName>
    <definedName name="_xlnm.Print_Area" localSheetId="1">'1. 예산사용 상세 231017'!$A$1:$R$89</definedName>
    <definedName name="_xlnm.Print_Area" localSheetId="0">'1. 예산사용 상세 231222'!$A$1:$R$89</definedName>
    <definedName name="_xlnm.Print_Titles" localSheetId="15">'2. 2022년 계획 230118'!$16:$16</definedName>
    <definedName name="_xlnm.Print_Titles" localSheetId="14">'2. 2022년 계획 230314'!$16:$16</definedName>
    <definedName name="_xlnm.Print_Titles" localSheetId="13">'2. 2022년 계획 230406'!$16:$16</definedName>
    <definedName name="_xlnm.Print_Titles" localSheetId="12">'2. 2022년 계획 230424'!$16:$16</definedName>
    <definedName name="_xlnm.Print_Titles" localSheetId="11">'2. 2022년 계획 230628'!$16:$16</definedName>
    <definedName name="_xlnm.Print_Titles" localSheetId="10">'2. 2022년 계획 230818'!$16:$16</definedName>
    <definedName name="_xlnm.Print_Titles" localSheetId="9">'2. 2022년 계획 231017'!$16:$16</definedName>
    <definedName name="_xlnm.Print_Titles" localSheetId="8">'2. 2022년 계획 231222'!$16:$16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5" i="15" l="1"/>
  <c r="R26" i="15"/>
  <c r="R27" i="15"/>
  <c r="R28" i="15"/>
  <c r="R29" i="15"/>
  <c r="R24" i="15"/>
  <c r="P78" i="15" l="1"/>
  <c r="T26" i="16" l="1"/>
  <c r="Q13" i="16" s="1"/>
  <c r="Q12" i="16" s="1"/>
  <c r="S26" i="16"/>
  <c r="P13" i="16" s="1"/>
  <c r="P12" i="16" s="1"/>
  <c r="R26" i="16"/>
  <c r="O13" i="16" s="1"/>
  <c r="O12" i="16" s="1"/>
  <c r="O26" i="16"/>
  <c r="L13" i="16" s="1"/>
  <c r="L12" i="16" s="1"/>
  <c r="N26" i="16"/>
  <c r="K13" i="16" s="1"/>
  <c r="K12" i="16" s="1"/>
  <c r="M26" i="16"/>
  <c r="J13" i="16" s="1"/>
  <c r="J12" i="16" s="1"/>
  <c r="L26" i="16"/>
  <c r="I13" i="16" s="1"/>
  <c r="I12" i="16" s="1"/>
  <c r="K26" i="16"/>
  <c r="H13" i="16" s="1"/>
  <c r="H12" i="16" s="1"/>
  <c r="J26" i="16"/>
  <c r="G13" i="16" s="1"/>
  <c r="U25" i="16"/>
  <c r="U26" i="16" s="1"/>
  <c r="R13" i="16" s="1"/>
  <c r="R12" i="16" s="1"/>
  <c r="T25" i="16"/>
  <c r="S25" i="16"/>
  <c r="R25" i="16"/>
  <c r="Q25" i="16"/>
  <c r="Q26" i="16" s="1"/>
  <c r="N13" i="16" s="1"/>
  <c r="N12" i="16" s="1"/>
  <c r="P25" i="16"/>
  <c r="P26" i="16" s="1"/>
  <c r="M13" i="16" s="1"/>
  <c r="O25" i="16"/>
  <c r="N25" i="16"/>
  <c r="M25" i="16"/>
  <c r="L25" i="16"/>
  <c r="K25" i="16"/>
  <c r="J25" i="16"/>
  <c r="I24" i="16"/>
  <c r="H24" i="16"/>
  <c r="G24" i="16"/>
  <c r="I23" i="16"/>
  <c r="G23" i="16" s="1"/>
  <c r="H23" i="16"/>
  <c r="I22" i="16"/>
  <c r="H22" i="16"/>
  <c r="G22" i="16"/>
  <c r="Q21" i="16"/>
  <c r="I21" i="16"/>
  <c r="H21" i="16"/>
  <c r="G21" i="16"/>
  <c r="I20" i="16"/>
  <c r="I25" i="16" s="1"/>
  <c r="I26" i="16" s="1"/>
  <c r="H20" i="16"/>
  <c r="I19" i="16"/>
  <c r="H19" i="16"/>
  <c r="G19" i="16"/>
  <c r="I18" i="16"/>
  <c r="H18" i="16"/>
  <c r="G18" i="16"/>
  <c r="I17" i="16"/>
  <c r="H17" i="16"/>
  <c r="H25" i="16" s="1"/>
  <c r="H26" i="16" s="1"/>
  <c r="G17" i="16"/>
  <c r="O78" i="15"/>
  <c r="N78" i="15"/>
  <c r="M78" i="15"/>
  <c r="L78" i="15"/>
  <c r="K78" i="15"/>
  <c r="J78" i="15"/>
  <c r="I78" i="15"/>
  <c r="H78" i="15"/>
  <c r="G78" i="15"/>
  <c r="G79" i="15" s="1"/>
  <c r="F78" i="15"/>
  <c r="F79" i="15" s="1"/>
  <c r="Q77" i="15"/>
  <c r="P77" i="15"/>
  <c r="N77" i="15"/>
  <c r="M77" i="15"/>
  <c r="M79" i="15" s="1"/>
  <c r="L77" i="15"/>
  <c r="K77" i="15"/>
  <c r="K79" i="15" s="1"/>
  <c r="J77" i="15"/>
  <c r="J79" i="15" s="1"/>
  <c r="I77" i="15"/>
  <c r="I79" i="15" s="1"/>
  <c r="H77" i="15"/>
  <c r="H79" i="15" s="1"/>
  <c r="G77" i="15"/>
  <c r="F77" i="15"/>
  <c r="R76" i="15"/>
  <c r="R75" i="15"/>
  <c r="O74" i="15"/>
  <c r="R74" i="15" s="1"/>
  <c r="M74" i="15"/>
  <c r="R73" i="15"/>
  <c r="O73" i="15"/>
  <c r="O77" i="15" s="1"/>
  <c r="R72" i="15"/>
  <c r="R71" i="15"/>
  <c r="R70" i="15"/>
  <c r="R69" i="15"/>
  <c r="R68" i="15"/>
  <c r="R67" i="15"/>
  <c r="R66" i="15"/>
  <c r="R65" i="15"/>
  <c r="R64" i="15"/>
  <c r="R63" i="15"/>
  <c r="R62" i="15"/>
  <c r="R61" i="15"/>
  <c r="R60" i="15"/>
  <c r="H60" i="15"/>
  <c r="R59" i="15"/>
  <c r="Q53" i="15"/>
  <c r="N53" i="15"/>
  <c r="M53" i="15"/>
  <c r="L53" i="15"/>
  <c r="K53" i="15"/>
  <c r="J53" i="15"/>
  <c r="I53" i="15"/>
  <c r="F53" i="15"/>
  <c r="R52" i="15"/>
  <c r="R51" i="15"/>
  <c r="O50" i="15"/>
  <c r="R50" i="15" s="1"/>
  <c r="O49" i="15"/>
  <c r="R49" i="15" s="1"/>
  <c r="R48" i="15"/>
  <c r="R47" i="15"/>
  <c r="G47" i="15"/>
  <c r="R46" i="15"/>
  <c r="H45" i="15"/>
  <c r="R45" i="15" s="1"/>
  <c r="R44" i="15"/>
  <c r="O43" i="15"/>
  <c r="O53" i="15" s="1"/>
  <c r="H43" i="15"/>
  <c r="H53" i="15" s="1"/>
  <c r="R42" i="15"/>
  <c r="G42" i="15"/>
  <c r="R41" i="15"/>
  <c r="R40" i="15"/>
  <c r="R39" i="15"/>
  <c r="P38" i="15"/>
  <c r="P53" i="15" s="1"/>
  <c r="G38" i="15"/>
  <c r="R38" i="15" s="1"/>
  <c r="R37" i="15"/>
  <c r="H36" i="15"/>
  <c r="R36" i="15" s="1"/>
  <c r="R35" i="15"/>
  <c r="R34" i="15"/>
  <c r="I33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R31" i="15"/>
  <c r="R32" i="15" s="1"/>
  <c r="Q30" i="15"/>
  <c r="Q33" i="15" s="1"/>
  <c r="P30" i="15"/>
  <c r="P33" i="15" s="1"/>
  <c r="O30" i="15"/>
  <c r="N30" i="15"/>
  <c r="M30" i="15"/>
  <c r="L30" i="15"/>
  <c r="K30" i="15"/>
  <c r="J30" i="15"/>
  <c r="J33" i="15" s="1"/>
  <c r="I30" i="15"/>
  <c r="H30" i="15"/>
  <c r="H33" i="15" s="1"/>
  <c r="G30" i="15"/>
  <c r="F30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R22" i="15"/>
  <c r="R23" i="15" s="1"/>
  <c r="Q21" i="15"/>
  <c r="P21" i="15"/>
  <c r="O21" i="15"/>
  <c r="N21" i="15"/>
  <c r="M21" i="15"/>
  <c r="L21" i="15"/>
  <c r="L33" i="15" s="1"/>
  <c r="L54" i="15" s="1"/>
  <c r="L55" i="15" s="1"/>
  <c r="K21" i="15"/>
  <c r="K33" i="15" s="1"/>
  <c r="K54" i="15" s="1"/>
  <c r="K55" i="15" s="1"/>
  <c r="J21" i="15"/>
  <c r="I21" i="15"/>
  <c r="H21" i="15"/>
  <c r="G21" i="15"/>
  <c r="F21" i="15"/>
  <c r="R20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21" i="15" s="1"/>
  <c r="Q7" i="15"/>
  <c r="P7" i="15"/>
  <c r="O7" i="15"/>
  <c r="O33" i="15" s="1"/>
  <c r="O54" i="15" s="1"/>
  <c r="O55" i="15" s="1"/>
  <c r="N7" i="15"/>
  <c r="N33" i="15" s="1"/>
  <c r="N54" i="15" s="1"/>
  <c r="N55" i="15" s="1"/>
  <c r="M7" i="15"/>
  <c r="M33" i="15" s="1"/>
  <c r="M54" i="15" s="1"/>
  <c r="M55" i="15" s="1"/>
  <c r="L7" i="15"/>
  <c r="K7" i="15"/>
  <c r="J7" i="15"/>
  <c r="I7" i="15"/>
  <c r="H7" i="15"/>
  <c r="G7" i="15"/>
  <c r="G33" i="15" s="1"/>
  <c r="F7" i="15"/>
  <c r="F33" i="15" s="1"/>
  <c r="R6" i="15"/>
  <c r="R5" i="15"/>
  <c r="I54" i="15" l="1"/>
  <c r="I55" i="15" s="1"/>
  <c r="R30" i="15"/>
  <c r="Q54" i="15"/>
  <c r="Q55" i="15" s="1"/>
  <c r="P79" i="15"/>
  <c r="R77" i="15"/>
  <c r="L79" i="15"/>
  <c r="N79" i="15"/>
  <c r="O79" i="15"/>
  <c r="Q79" i="15"/>
  <c r="J54" i="15"/>
  <c r="J55" i="15" s="1"/>
  <c r="H54" i="15"/>
  <c r="H55" i="15" s="1"/>
  <c r="E13" i="16"/>
  <c r="D13" i="16" s="1"/>
  <c r="G12" i="16"/>
  <c r="E12" i="16" s="1"/>
  <c r="D12" i="16" s="1"/>
  <c r="G25" i="16"/>
  <c r="G26" i="16" s="1"/>
  <c r="M12" i="16"/>
  <c r="F12" i="16" s="1"/>
  <c r="F13" i="16"/>
  <c r="G20" i="16"/>
  <c r="F54" i="15"/>
  <c r="F55" i="15"/>
  <c r="P54" i="15"/>
  <c r="P55" i="15" s="1"/>
  <c r="R43" i="15"/>
  <c r="R53" i="15" s="1"/>
  <c r="R7" i="15"/>
  <c r="G53" i="15"/>
  <c r="G54" i="15" s="1"/>
  <c r="R78" i="15"/>
  <c r="R33" i="15" l="1"/>
  <c r="R55" i="15" s="1"/>
  <c r="R79" i="15"/>
  <c r="G55" i="15"/>
  <c r="R54" i="15" l="1"/>
  <c r="P53" i="14" l="1"/>
  <c r="P38" i="14" l="1"/>
  <c r="O50" i="14" l="1"/>
  <c r="O53" i="14"/>
  <c r="O74" i="14"/>
  <c r="O43" i="14" l="1"/>
  <c r="O39" i="11" l="1"/>
  <c r="Q79" i="14" l="1"/>
  <c r="I79" i="14"/>
  <c r="H79" i="14"/>
  <c r="Q78" i="14"/>
  <c r="P78" i="14"/>
  <c r="O78" i="14"/>
  <c r="N78" i="14"/>
  <c r="N79" i="14" s="1"/>
  <c r="M78" i="14"/>
  <c r="L78" i="14"/>
  <c r="K78" i="14"/>
  <c r="J78" i="14"/>
  <c r="I78" i="14"/>
  <c r="H78" i="14"/>
  <c r="G78" i="14"/>
  <c r="F78" i="14"/>
  <c r="F79" i="14" s="1"/>
  <c r="Q77" i="14"/>
  <c r="N77" i="14"/>
  <c r="M77" i="14"/>
  <c r="M79" i="14" s="1"/>
  <c r="L77" i="14"/>
  <c r="L79" i="14" s="1"/>
  <c r="K77" i="14"/>
  <c r="K79" i="14" s="1"/>
  <c r="J77" i="14"/>
  <c r="J79" i="14" s="1"/>
  <c r="I77" i="14"/>
  <c r="H77" i="14"/>
  <c r="G77" i="14"/>
  <c r="G79" i="14" s="1"/>
  <c r="F77" i="14"/>
  <c r="R76" i="14"/>
  <c r="R75" i="14"/>
  <c r="P77" i="14"/>
  <c r="M74" i="14"/>
  <c r="O73" i="14"/>
  <c r="O77" i="14" s="1"/>
  <c r="R72" i="14"/>
  <c r="R71" i="14"/>
  <c r="R70" i="14"/>
  <c r="R69" i="14"/>
  <c r="R68" i="14"/>
  <c r="R67" i="14"/>
  <c r="R66" i="14"/>
  <c r="R65" i="14"/>
  <c r="R64" i="14"/>
  <c r="R63" i="14"/>
  <c r="R62" i="14"/>
  <c r="R61" i="14"/>
  <c r="R60" i="14"/>
  <c r="H60" i="14"/>
  <c r="R59" i="14"/>
  <c r="Q53" i="14"/>
  <c r="N53" i="14"/>
  <c r="M53" i="14"/>
  <c r="L53" i="14"/>
  <c r="K53" i="14"/>
  <c r="J53" i="14"/>
  <c r="I53" i="14"/>
  <c r="G53" i="14"/>
  <c r="F53" i="14"/>
  <c r="R52" i="14"/>
  <c r="R51" i="14"/>
  <c r="R50" i="14"/>
  <c r="O49" i="14"/>
  <c r="R49" i="14" s="1"/>
  <c r="R48" i="14"/>
  <c r="R47" i="14"/>
  <c r="G47" i="14"/>
  <c r="R46" i="14"/>
  <c r="R45" i="14"/>
  <c r="H45" i="14"/>
  <c r="R44" i="14"/>
  <c r="H43" i="14"/>
  <c r="R43" i="14" s="1"/>
  <c r="R42" i="14"/>
  <c r="G42" i="14"/>
  <c r="R41" i="14"/>
  <c r="R40" i="14"/>
  <c r="R39" i="14"/>
  <c r="G38" i="14"/>
  <c r="R38" i="14" s="1"/>
  <c r="R37" i="14"/>
  <c r="H36" i="14"/>
  <c r="R36" i="14" s="1"/>
  <c r="R35" i="14"/>
  <c r="R34" i="14"/>
  <c r="Q33" i="14"/>
  <c r="Q54" i="14" s="1"/>
  <c r="Q55" i="14" s="1"/>
  <c r="P33" i="14"/>
  <c r="O33" i="14"/>
  <c r="I33" i="14"/>
  <c r="I54" i="14" s="1"/>
  <c r="I55" i="14" s="1"/>
  <c r="H33" i="14"/>
  <c r="G33" i="14"/>
  <c r="G54" i="14" s="1"/>
  <c r="Q32" i="14"/>
  <c r="P32" i="14"/>
  <c r="O32" i="14"/>
  <c r="N32" i="14"/>
  <c r="M32" i="14"/>
  <c r="L32" i="14"/>
  <c r="K32" i="14"/>
  <c r="J32" i="14"/>
  <c r="I32" i="14"/>
  <c r="H32" i="14"/>
  <c r="G32" i="14"/>
  <c r="F32" i="14"/>
  <c r="R31" i="14"/>
  <c r="R32" i="14" s="1"/>
  <c r="Q30" i="14"/>
  <c r="P30" i="14"/>
  <c r="O30" i="14"/>
  <c r="N30" i="14"/>
  <c r="M30" i="14"/>
  <c r="L30" i="14"/>
  <c r="K30" i="14"/>
  <c r="J30" i="14"/>
  <c r="I30" i="14"/>
  <c r="H30" i="14"/>
  <c r="G30" i="14"/>
  <c r="F30" i="14"/>
  <c r="R29" i="14"/>
  <c r="R28" i="14"/>
  <c r="R27" i="14"/>
  <c r="R26" i="14"/>
  <c r="R30" i="14" s="1"/>
  <c r="R25" i="14"/>
  <c r="R24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R22" i="14"/>
  <c r="R23" i="14" s="1"/>
  <c r="Q21" i="14"/>
  <c r="P21" i="14"/>
  <c r="O21" i="14"/>
  <c r="N21" i="14"/>
  <c r="M21" i="14"/>
  <c r="L21" i="14"/>
  <c r="L33" i="14" s="1"/>
  <c r="L54" i="14" s="1"/>
  <c r="L55" i="14" s="1"/>
  <c r="K21" i="14"/>
  <c r="J21" i="14"/>
  <c r="I21" i="14"/>
  <c r="H21" i="14"/>
  <c r="G21" i="14"/>
  <c r="F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R21" i="14" s="1"/>
  <c r="Q7" i="14"/>
  <c r="P7" i="14"/>
  <c r="O7" i="14"/>
  <c r="N7" i="14"/>
  <c r="N33" i="14" s="1"/>
  <c r="N54" i="14" s="1"/>
  <c r="N55" i="14" s="1"/>
  <c r="M7" i="14"/>
  <c r="M33" i="14" s="1"/>
  <c r="M54" i="14" s="1"/>
  <c r="M55" i="14" s="1"/>
  <c r="L7" i="14"/>
  <c r="K7" i="14"/>
  <c r="K33" i="14" s="1"/>
  <c r="K54" i="14" s="1"/>
  <c r="K55" i="14" s="1"/>
  <c r="J7" i="14"/>
  <c r="J33" i="14" s="1"/>
  <c r="J54" i="14" s="1"/>
  <c r="J55" i="14" s="1"/>
  <c r="I7" i="14"/>
  <c r="H7" i="14"/>
  <c r="G7" i="14"/>
  <c r="F7" i="14"/>
  <c r="F33" i="14" s="1"/>
  <c r="R6" i="14"/>
  <c r="R5" i="14"/>
  <c r="U25" i="13"/>
  <c r="U26" i="13" s="1"/>
  <c r="R13" i="13" s="1"/>
  <c r="R12" i="13" s="1"/>
  <c r="T25" i="13"/>
  <c r="T26" i="13" s="1"/>
  <c r="Q13" i="13" s="1"/>
  <c r="Q12" i="13" s="1"/>
  <c r="S25" i="13"/>
  <c r="S26" i="13" s="1"/>
  <c r="P13" i="13" s="1"/>
  <c r="P12" i="13" s="1"/>
  <c r="R25" i="13"/>
  <c r="R26" i="13" s="1"/>
  <c r="O13" i="13" s="1"/>
  <c r="O12" i="13" s="1"/>
  <c r="P25" i="13"/>
  <c r="P26" i="13" s="1"/>
  <c r="M13" i="13" s="1"/>
  <c r="O25" i="13"/>
  <c r="O26" i="13" s="1"/>
  <c r="L13" i="13" s="1"/>
  <c r="L12" i="13" s="1"/>
  <c r="N25" i="13"/>
  <c r="N26" i="13" s="1"/>
  <c r="K13" i="13" s="1"/>
  <c r="K12" i="13" s="1"/>
  <c r="M25" i="13"/>
  <c r="M26" i="13" s="1"/>
  <c r="J13" i="13" s="1"/>
  <c r="J12" i="13" s="1"/>
  <c r="L25" i="13"/>
  <c r="L26" i="13" s="1"/>
  <c r="I13" i="13" s="1"/>
  <c r="I12" i="13" s="1"/>
  <c r="K25" i="13"/>
  <c r="K26" i="13" s="1"/>
  <c r="H13" i="13" s="1"/>
  <c r="H12" i="13" s="1"/>
  <c r="J25" i="13"/>
  <c r="J26" i="13" s="1"/>
  <c r="G13" i="13" s="1"/>
  <c r="I24" i="13"/>
  <c r="H24" i="13"/>
  <c r="G24" i="13" s="1"/>
  <c r="I23" i="13"/>
  <c r="H23" i="13"/>
  <c r="G23" i="13"/>
  <c r="I22" i="13"/>
  <c r="H22" i="13"/>
  <c r="Q21" i="13"/>
  <c r="I21" i="13" s="1"/>
  <c r="G21" i="13" s="1"/>
  <c r="H21" i="13"/>
  <c r="I20" i="13"/>
  <c r="H20" i="13"/>
  <c r="G20" i="13" s="1"/>
  <c r="I19" i="13"/>
  <c r="H19" i="13"/>
  <c r="G19" i="13" s="1"/>
  <c r="I18" i="13"/>
  <c r="H18" i="13"/>
  <c r="G18" i="13"/>
  <c r="I17" i="13"/>
  <c r="H17" i="13"/>
  <c r="H25" i="13" s="1"/>
  <c r="H26" i="13" s="1"/>
  <c r="P79" i="14" l="1"/>
  <c r="P54" i="14"/>
  <c r="P55" i="14" s="1"/>
  <c r="G22" i="13"/>
  <c r="O79" i="14"/>
  <c r="O54" i="14"/>
  <c r="O55" i="14" s="1"/>
  <c r="F54" i="14"/>
  <c r="F55" i="14"/>
  <c r="R53" i="14"/>
  <c r="R74" i="14"/>
  <c r="R7" i="14"/>
  <c r="R33" i="14" s="1"/>
  <c r="R78" i="14"/>
  <c r="R73" i="14"/>
  <c r="H53" i="14"/>
  <c r="H54" i="14" s="1"/>
  <c r="H55" i="14" s="1"/>
  <c r="G55" i="14"/>
  <c r="F13" i="13"/>
  <c r="M12" i="13"/>
  <c r="I25" i="13"/>
  <c r="I26" i="13" s="1"/>
  <c r="G12" i="13"/>
  <c r="E12" i="13" s="1"/>
  <c r="E13" i="13"/>
  <c r="G17" i="13"/>
  <c r="Q25" i="13"/>
  <c r="Q26" i="13" s="1"/>
  <c r="N13" i="13" s="1"/>
  <c r="N12" i="13" s="1"/>
  <c r="P74" i="11"/>
  <c r="R77" i="14" l="1"/>
  <c r="R79" i="14" s="1"/>
  <c r="G25" i="13"/>
  <c r="G26" i="13" s="1"/>
  <c r="R55" i="14"/>
  <c r="R54" i="14"/>
  <c r="D13" i="13"/>
  <c r="F12" i="13"/>
  <c r="D12" i="13" s="1"/>
  <c r="M78" i="11"/>
  <c r="O78" i="11"/>
  <c r="M77" i="11"/>
  <c r="M74" i="11" l="1"/>
  <c r="O73" i="11"/>
  <c r="O49" i="11"/>
  <c r="Q33" i="11" l="1"/>
  <c r="Q21" i="12" l="1"/>
  <c r="M53" i="11" l="1"/>
  <c r="U25" i="12" l="1"/>
  <c r="U26" i="12" s="1"/>
  <c r="R13" i="12" s="1"/>
  <c r="R12" i="12" s="1"/>
  <c r="T25" i="12"/>
  <c r="T26" i="12" s="1"/>
  <c r="Q13" i="12" s="1"/>
  <c r="Q12" i="12" s="1"/>
  <c r="S25" i="12"/>
  <c r="S26" i="12" s="1"/>
  <c r="P13" i="12" s="1"/>
  <c r="P12" i="12" s="1"/>
  <c r="R25" i="12"/>
  <c r="R26" i="12" s="1"/>
  <c r="O13" i="12" s="1"/>
  <c r="O12" i="12" s="1"/>
  <c r="Q25" i="12"/>
  <c r="Q26" i="12" s="1"/>
  <c r="N13" i="12" s="1"/>
  <c r="N12" i="12" s="1"/>
  <c r="P25" i="12"/>
  <c r="P26" i="12" s="1"/>
  <c r="M13" i="12" s="1"/>
  <c r="O25" i="12"/>
  <c r="O26" i="12" s="1"/>
  <c r="L13" i="12" s="1"/>
  <c r="L12" i="12" s="1"/>
  <c r="N25" i="12"/>
  <c r="N26" i="12" s="1"/>
  <c r="K13" i="12" s="1"/>
  <c r="K12" i="12" s="1"/>
  <c r="M25" i="12"/>
  <c r="M26" i="12" s="1"/>
  <c r="J13" i="12" s="1"/>
  <c r="J12" i="12" s="1"/>
  <c r="L25" i="12"/>
  <c r="L26" i="12" s="1"/>
  <c r="I13" i="12" s="1"/>
  <c r="I12" i="12" s="1"/>
  <c r="K25" i="12"/>
  <c r="K26" i="12" s="1"/>
  <c r="H13" i="12" s="1"/>
  <c r="H12" i="12" s="1"/>
  <c r="J25" i="12"/>
  <c r="J26" i="12" s="1"/>
  <c r="G13" i="12" s="1"/>
  <c r="I24" i="12"/>
  <c r="H24" i="12"/>
  <c r="I23" i="12"/>
  <c r="H23" i="12"/>
  <c r="G23" i="12" s="1"/>
  <c r="I22" i="12"/>
  <c r="H22" i="12"/>
  <c r="I21" i="12"/>
  <c r="H21" i="12"/>
  <c r="I20" i="12"/>
  <c r="H20" i="12"/>
  <c r="G20" i="12" s="1"/>
  <c r="I19" i="12"/>
  <c r="H19" i="12"/>
  <c r="G19" i="12" s="1"/>
  <c r="I18" i="12"/>
  <c r="H18" i="12"/>
  <c r="G18" i="12" s="1"/>
  <c r="I17" i="12"/>
  <c r="G17" i="12" s="1"/>
  <c r="H17" i="12"/>
  <c r="H25" i="12" s="1"/>
  <c r="H26" i="12" s="1"/>
  <c r="Q78" i="11"/>
  <c r="P78" i="11"/>
  <c r="N78" i="11"/>
  <c r="L78" i="11"/>
  <c r="K78" i="11"/>
  <c r="I78" i="11"/>
  <c r="I79" i="11" s="1"/>
  <c r="G78" i="11"/>
  <c r="F78" i="11"/>
  <c r="L77" i="11"/>
  <c r="L79" i="11" s="1"/>
  <c r="K77" i="11"/>
  <c r="J77" i="11"/>
  <c r="I77" i="11"/>
  <c r="G77" i="11"/>
  <c r="G79" i="11" s="1"/>
  <c r="F77" i="11"/>
  <c r="R76" i="11"/>
  <c r="R75" i="11"/>
  <c r="R74" i="11"/>
  <c r="P77" i="11"/>
  <c r="R73" i="11"/>
  <c r="R72" i="11"/>
  <c r="O77" i="11"/>
  <c r="R70" i="11"/>
  <c r="R69" i="11"/>
  <c r="R68" i="11"/>
  <c r="R67" i="11"/>
  <c r="N77" i="11"/>
  <c r="J78" i="11"/>
  <c r="R65" i="11"/>
  <c r="R64" i="11"/>
  <c r="R63" i="11"/>
  <c r="R62" i="11"/>
  <c r="R61" i="11"/>
  <c r="R60" i="11"/>
  <c r="H60" i="11"/>
  <c r="H77" i="11" s="1"/>
  <c r="R59" i="11"/>
  <c r="L53" i="11"/>
  <c r="K53" i="11"/>
  <c r="J53" i="11"/>
  <c r="I53" i="11"/>
  <c r="F53" i="11"/>
  <c r="R52" i="11"/>
  <c r="R51" i="11"/>
  <c r="P53" i="11"/>
  <c r="Q53" i="11"/>
  <c r="R48" i="11"/>
  <c r="G47" i="11"/>
  <c r="R47" i="11" s="1"/>
  <c r="R46" i="11"/>
  <c r="H45" i="11"/>
  <c r="R45" i="11" s="1"/>
  <c r="R44" i="11"/>
  <c r="H43" i="11"/>
  <c r="R43" i="11" s="1"/>
  <c r="G42" i="11"/>
  <c r="R42" i="11" s="1"/>
  <c r="R41" i="11"/>
  <c r="R40" i="11"/>
  <c r="O53" i="11"/>
  <c r="N53" i="11"/>
  <c r="G38" i="11"/>
  <c r="R37" i="11"/>
  <c r="H36" i="11"/>
  <c r="H53" i="11" s="1"/>
  <c r="R35" i="11"/>
  <c r="R34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R31" i="11"/>
  <c r="R32" i="11" s="1"/>
  <c r="Q30" i="11"/>
  <c r="P30" i="11"/>
  <c r="O30" i="11"/>
  <c r="N30" i="11"/>
  <c r="M30" i="11"/>
  <c r="L30" i="11"/>
  <c r="K30" i="11"/>
  <c r="J30" i="11"/>
  <c r="I30" i="11"/>
  <c r="H30" i="11"/>
  <c r="G30" i="11"/>
  <c r="F30" i="11"/>
  <c r="R29" i="11"/>
  <c r="R28" i="11"/>
  <c r="R27" i="11"/>
  <c r="R26" i="11"/>
  <c r="R25" i="11"/>
  <c r="R24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R22" i="11"/>
  <c r="R23" i="11" s="1"/>
  <c r="Q21" i="11"/>
  <c r="P21" i="11"/>
  <c r="P33" i="11" s="1"/>
  <c r="O21" i="11"/>
  <c r="O33" i="11" s="1"/>
  <c r="N21" i="11"/>
  <c r="M21" i="11"/>
  <c r="L21" i="11"/>
  <c r="K21" i="11"/>
  <c r="J21" i="11"/>
  <c r="I21" i="11"/>
  <c r="H21" i="11"/>
  <c r="G21" i="11"/>
  <c r="F21" i="11"/>
  <c r="R20" i="11"/>
  <c r="R19" i="11"/>
  <c r="R18" i="11"/>
  <c r="R17" i="11"/>
  <c r="R16" i="11"/>
  <c r="R15" i="11"/>
  <c r="R14" i="11"/>
  <c r="R13" i="11"/>
  <c r="R12" i="11"/>
  <c r="R11" i="11"/>
  <c r="R10" i="11"/>
  <c r="R9" i="11"/>
  <c r="R8" i="11"/>
  <c r="Q7" i="11"/>
  <c r="P7" i="11"/>
  <c r="O7" i="11"/>
  <c r="N7" i="11"/>
  <c r="M7" i="11"/>
  <c r="L7" i="11"/>
  <c r="K7" i="11"/>
  <c r="K33" i="11" s="1"/>
  <c r="K54" i="11" s="1"/>
  <c r="K55" i="11" s="1"/>
  <c r="J7" i="11"/>
  <c r="J33" i="11" s="1"/>
  <c r="J54" i="11" s="1"/>
  <c r="J55" i="11" s="1"/>
  <c r="I7" i="11"/>
  <c r="I33" i="11" s="1"/>
  <c r="I54" i="11" s="1"/>
  <c r="I55" i="11" s="1"/>
  <c r="H7" i="11"/>
  <c r="G7" i="11"/>
  <c r="F7" i="11"/>
  <c r="F33" i="11" s="1"/>
  <c r="R6" i="11"/>
  <c r="R5" i="11"/>
  <c r="L33" i="11" l="1"/>
  <c r="N79" i="11"/>
  <c r="G22" i="12"/>
  <c r="G24" i="12"/>
  <c r="I25" i="12"/>
  <c r="I26" i="12" s="1"/>
  <c r="G21" i="12"/>
  <c r="G53" i="11"/>
  <c r="F79" i="11"/>
  <c r="H78" i="11"/>
  <c r="H79" i="11" s="1"/>
  <c r="P54" i="11"/>
  <c r="P55" i="11" s="1"/>
  <c r="G33" i="11"/>
  <c r="R30" i="11"/>
  <c r="R50" i="11"/>
  <c r="P79" i="11"/>
  <c r="K79" i="11"/>
  <c r="M79" i="11"/>
  <c r="L54" i="11"/>
  <c r="L55" i="11" s="1"/>
  <c r="N33" i="11"/>
  <c r="N54" i="11" s="1"/>
  <c r="N55" i="11" s="1"/>
  <c r="R21" i="11"/>
  <c r="R33" i="11" s="1"/>
  <c r="Q54" i="11"/>
  <c r="Q55" i="11" s="1"/>
  <c r="R7" i="11"/>
  <c r="M33" i="11"/>
  <c r="M54" i="11" s="1"/>
  <c r="M55" i="11" s="1"/>
  <c r="G12" i="12"/>
  <c r="E12" i="12" s="1"/>
  <c r="E13" i="12"/>
  <c r="F13" i="12"/>
  <c r="M12" i="12"/>
  <c r="F12" i="12" s="1"/>
  <c r="F54" i="11"/>
  <c r="F55" i="11"/>
  <c r="J79" i="11"/>
  <c r="G55" i="11"/>
  <c r="G54" i="11"/>
  <c r="O54" i="11"/>
  <c r="O55" i="11" s="1"/>
  <c r="R39" i="11"/>
  <c r="R71" i="11"/>
  <c r="R36" i="11"/>
  <c r="O79" i="11"/>
  <c r="R66" i="11"/>
  <c r="H33" i="11"/>
  <c r="H54" i="11" s="1"/>
  <c r="H55" i="11" s="1"/>
  <c r="R49" i="11"/>
  <c r="R38" i="11"/>
  <c r="Q77" i="11"/>
  <c r="Q79" i="11" s="1"/>
  <c r="U26" i="10"/>
  <c r="R13" i="10" s="1"/>
  <c r="R12" i="10" s="1"/>
  <c r="P26" i="10"/>
  <c r="M13" i="10" s="1"/>
  <c r="N26" i="10"/>
  <c r="M26" i="10"/>
  <c r="J13" i="10" s="1"/>
  <c r="J12" i="10" s="1"/>
  <c r="U25" i="10"/>
  <c r="T25" i="10"/>
  <c r="T26" i="10" s="1"/>
  <c r="Q13" i="10" s="1"/>
  <c r="Q12" i="10" s="1"/>
  <c r="S25" i="10"/>
  <c r="S26" i="10" s="1"/>
  <c r="P13" i="10" s="1"/>
  <c r="P12" i="10" s="1"/>
  <c r="R25" i="10"/>
  <c r="R26" i="10" s="1"/>
  <c r="O13" i="10" s="1"/>
  <c r="O12" i="10" s="1"/>
  <c r="Q25" i="10"/>
  <c r="Q26" i="10" s="1"/>
  <c r="N13" i="10" s="1"/>
  <c r="N12" i="10" s="1"/>
  <c r="P25" i="10"/>
  <c r="O25" i="10"/>
  <c r="O26" i="10" s="1"/>
  <c r="L13" i="10" s="1"/>
  <c r="L12" i="10" s="1"/>
  <c r="N25" i="10"/>
  <c r="M25" i="10"/>
  <c r="L25" i="10"/>
  <c r="L26" i="10" s="1"/>
  <c r="I13" i="10" s="1"/>
  <c r="I12" i="10" s="1"/>
  <c r="K25" i="10"/>
  <c r="K26" i="10" s="1"/>
  <c r="H13" i="10" s="1"/>
  <c r="H12" i="10" s="1"/>
  <c r="J25" i="10"/>
  <c r="J26" i="10" s="1"/>
  <c r="G13" i="10" s="1"/>
  <c r="I24" i="10"/>
  <c r="H24" i="10"/>
  <c r="G24" i="10"/>
  <c r="I23" i="10"/>
  <c r="H23" i="10"/>
  <c r="G23" i="10" s="1"/>
  <c r="I22" i="10"/>
  <c r="H22" i="10"/>
  <c r="G22" i="10" s="1"/>
  <c r="I21" i="10"/>
  <c r="H21" i="10"/>
  <c r="G21" i="10" s="1"/>
  <c r="I20" i="10"/>
  <c r="H20" i="10"/>
  <c r="G20" i="10" s="1"/>
  <c r="I19" i="10"/>
  <c r="H19" i="10"/>
  <c r="G19" i="10"/>
  <c r="I18" i="10"/>
  <c r="H18" i="10"/>
  <c r="G18" i="10" s="1"/>
  <c r="I17" i="10"/>
  <c r="I25" i="10" s="1"/>
  <c r="I26" i="10" s="1"/>
  <c r="H17" i="10"/>
  <c r="H25" i="10" s="1"/>
  <c r="H26" i="10" s="1"/>
  <c r="G17" i="10"/>
  <c r="K13" i="10"/>
  <c r="K12" i="10" s="1"/>
  <c r="K79" i="9"/>
  <c r="Q78" i="9"/>
  <c r="P78" i="9"/>
  <c r="N78" i="9"/>
  <c r="M78" i="9"/>
  <c r="L78" i="9"/>
  <c r="K78" i="9"/>
  <c r="I78" i="9"/>
  <c r="H78" i="9"/>
  <c r="G78" i="9"/>
  <c r="G79" i="9" s="1"/>
  <c r="F78" i="9"/>
  <c r="Q77" i="9"/>
  <c r="Q79" i="9" s="1"/>
  <c r="M77" i="9"/>
  <c r="M79" i="9" s="1"/>
  <c r="L77" i="9"/>
  <c r="L79" i="9" s="1"/>
  <c r="K77" i="9"/>
  <c r="I77" i="9"/>
  <c r="I79" i="9" s="1"/>
  <c r="G77" i="9"/>
  <c r="F77" i="9"/>
  <c r="F79" i="9" s="1"/>
  <c r="R76" i="9"/>
  <c r="R75" i="9"/>
  <c r="Q74" i="9"/>
  <c r="P74" i="9"/>
  <c r="R74" i="9" s="1"/>
  <c r="R73" i="9"/>
  <c r="M72" i="9"/>
  <c r="R72" i="9" s="1"/>
  <c r="O71" i="9"/>
  <c r="O77" i="9" s="1"/>
  <c r="R70" i="9"/>
  <c r="R69" i="9"/>
  <c r="R68" i="9"/>
  <c r="R67" i="9"/>
  <c r="N66" i="9"/>
  <c r="N77" i="9" s="1"/>
  <c r="N79" i="9" s="1"/>
  <c r="J66" i="9"/>
  <c r="J77" i="9" s="1"/>
  <c r="R65" i="9"/>
  <c r="R64" i="9"/>
  <c r="R63" i="9"/>
  <c r="R62" i="9"/>
  <c r="R61" i="9"/>
  <c r="H60" i="9"/>
  <c r="H77" i="9" s="1"/>
  <c r="H79" i="9" s="1"/>
  <c r="R59" i="9"/>
  <c r="Q53" i="9"/>
  <c r="L53" i="9"/>
  <c r="K53" i="9"/>
  <c r="J53" i="9"/>
  <c r="I53" i="9"/>
  <c r="F53" i="9"/>
  <c r="R52" i="9"/>
  <c r="R51" i="9"/>
  <c r="Q50" i="9"/>
  <c r="P50" i="9"/>
  <c r="R50" i="9" s="1"/>
  <c r="Q49" i="9"/>
  <c r="R49" i="9" s="1"/>
  <c r="M48" i="9"/>
  <c r="R48" i="9" s="1"/>
  <c r="R47" i="9"/>
  <c r="O47" i="9"/>
  <c r="N47" i="9"/>
  <c r="G47" i="9"/>
  <c r="G53" i="9" s="1"/>
  <c r="R46" i="9"/>
  <c r="H45" i="9"/>
  <c r="R45" i="9" s="1"/>
  <c r="R44" i="9"/>
  <c r="R43" i="9"/>
  <c r="H43" i="9"/>
  <c r="N42" i="9"/>
  <c r="R42" i="9" s="1"/>
  <c r="G42" i="9"/>
  <c r="R41" i="9"/>
  <c r="R40" i="9"/>
  <c r="M39" i="9"/>
  <c r="R39" i="9" s="1"/>
  <c r="O38" i="9"/>
  <c r="O53" i="9" s="1"/>
  <c r="N38" i="9"/>
  <c r="R38" i="9" s="1"/>
  <c r="G38" i="9"/>
  <c r="R37" i="9"/>
  <c r="H36" i="9"/>
  <c r="H53" i="9" s="1"/>
  <c r="R35" i="9"/>
  <c r="R34" i="9"/>
  <c r="R32" i="9"/>
  <c r="Q32" i="9"/>
  <c r="Q33" i="9" s="1"/>
  <c r="Q54" i="9" s="1"/>
  <c r="Q55" i="9" s="1"/>
  <c r="P32" i="9"/>
  <c r="O32" i="9"/>
  <c r="N32" i="9"/>
  <c r="M32" i="9"/>
  <c r="L32" i="9"/>
  <c r="K32" i="9"/>
  <c r="J32" i="9"/>
  <c r="I32" i="9"/>
  <c r="I33" i="9" s="1"/>
  <c r="I54" i="9" s="1"/>
  <c r="I55" i="9" s="1"/>
  <c r="H32" i="9"/>
  <c r="G32" i="9"/>
  <c r="F32" i="9"/>
  <c r="R31" i="9"/>
  <c r="Q30" i="9"/>
  <c r="P30" i="9"/>
  <c r="O30" i="9"/>
  <c r="N30" i="9"/>
  <c r="M30" i="9"/>
  <c r="L30" i="9"/>
  <c r="K30" i="9"/>
  <c r="J30" i="9"/>
  <c r="I30" i="9"/>
  <c r="H30" i="9"/>
  <c r="G30" i="9"/>
  <c r="F30" i="9"/>
  <c r="R29" i="9"/>
  <c r="R28" i="9"/>
  <c r="R27" i="9"/>
  <c r="R26" i="9"/>
  <c r="R25" i="9"/>
  <c r="R24" i="9"/>
  <c r="R30" i="9" s="1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R22" i="9"/>
  <c r="Q21" i="9"/>
  <c r="P21" i="9"/>
  <c r="O21" i="9"/>
  <c r="N21" i="9"/>
  <c r="N33" i="9" s="1"/>
  <c r="M21" i="9"/>
  <c r="M33" i="9" s="1"/>
  <c r="L21" i="9"/>
  <c r="L33" i="9" s="1"/>
  <c r="L54" i="9" s="1"/>
  <c r="L55" i="9" s="1"/>
  <c r="K21" i="9"/>
  <c r="J21" i="9"/>
  <c r="I21" i="9"/>
  <c r="H21" i="9"/>
  <c r="G21" i="9"/>
  <c r="F21" i="9"/>
  <c r="F33" i="9" s="1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Q7" i="9"/>
  <c r="P7" i="9"/>
  <c r="P33" i="9" s="1"/>
  <c r="O7" i="9"/>
  <c r="O33" i="9" s="1"/>
  <c r="O54" i="9" s="1"/>
  <c r="O55" i="9" s="1"/>
  <c r="N7" i="9"/>
  <c r="M7" i="9"/>
  <c r="L7" i="9"/>
  <c r="K7" i="9"/>
  <c r="K33" i="9" s="1"/>
  <c r="K54" i="9" s="1"/>
  <c r="K55" i="9" s="1"/>
  <c r="J7" i="9"/>
  <c r="J33" i="9" s="1"/>
  <c r="J54" i="9" s="1"/>
  <c r="J55" i="9" s="1"/>
  <c r="I7" i="9"/>
  <c r="H7" i="9"/>
  <c r="H33" i="9" s="1"/>
  <c r="H54" i="9" s="1"/>
  <c r="H55" i="9" s="1"/>
  <c r="G7" i="9"/>
  <c r="G33" i="9" s="1"/>
  <c r="F7" i="9"/>
  <c r="R6" i="9"/>
  <c r="R5" i="9"/>
  <c r="G25" i="12" l="1"/>
  <c r="G26" i="12" s="1"/>
  <c r="D13" i="12"/>
  <c r="R77" i="11"/>
  <c r="R53" i="11"/>
  <c r="D12" i="12"/>
  <c r="R78" i="11"/>
  <c r="R21" i="9"/>
  <c r="E13" i="10"/>
  <c r="D13" i="10" s="1"/>
  <c r="G12" i="10"/>
  <c r="E12" i="10" s="1"/>
  <c r="D12" i="10" s="1"/>
  <c r="G25" i="10"/>
  <c r="G26" i="10" s="1"/>
  <c r="F13" i="10"/>
  <c r="M12" i="10"/>
  <c r="F12" i="10" s="1"/>
  <c r="G55" i="9"/>
  <c r="G54" i="9"/>
  <c r="F54" i="9"/>
  <c r="F55" i="9"/>
  <c r="M53" i="9"/>
  <c r="M54" i="9" s="1"/>
  <c r="M55" i="9" s="1"/>
  <c r="R36" i="9"/>
  <c r="R53" i="9" s="1"/>
  <c r="N53" i="9"/>
  <c r="N54" i="9" s="1"/>
  <c r="N55" i="9" s="1"/>
  <c r="O78" i="9"/>
  <c r="O79" i="9" s="1"/>
  <c r="R71" i="9"/>
  <c r="R60" i="9"/>
  <c r="R77" i="9" s="1"/>
  <c r="R66" i="9"/>
  <c r="J78" i="9"/>
  <c r="J79" i="9" s="1"/>
  <c r="P53" i="9"/>
  <c r="P54" i="9" s="1"/>
  <c r="P55" i="9" s="1"/>
  <c r="P77" i="9"/>
  <c r="P79" i="9" s="1"/>
  <c r="R7" i="9"/>
  <c r="O78" i="7"/>
  <c r="N78" i="7"/>
  <c r="M78" i="7"/>
  <c r="H78" i="7"/>
  <c r="G78" i="7"/>
  <c r="R48" i="7"/>
  <c r="N38" i="7"/>
  <c r="J21" i="7"/>
  <c r="R79" i="11" l="1"/>
  <c r="R54" i="11"/>
  <c r="R55" i="11"/>
  <c r="R33" i="9"/>
  <c r="R54" i="9" s="1"/>
  <c r="R78" i="9"/>
  <c r="R79" i="9" s="1"/>
  <c r="H45" i="7"/>
  <c r="R45" i="7" s="1"/>
  <c r="U26" i="8"/>
  <c r="R13" i="8" s="1"/>
  <c r="R12" i="8" s="1"/>
  <c r="T26" i="8"/>
  <c r="Q13" i="8" s="1"/>
  <c r="Q12" i="8" s="1"/>
  <c r="S26" i="8"/>
  <c r="P13" i="8" s="1"/>
  <c r="P12" i="8" s="1"/>
  <c r="Q26" i="8"/>
  <c r="N13" i="8" s="1"/>
  <c r="N12" i="8" s="1"/>
  <c r="P26" i="8"/>
  <c r="M13" i="8" s="1"/>
  <c r="M26" i="8"/>
  <c r="J13" i="8" s="1"/>
  <c r="J12" i="8" s="1"/>
  <c r="L26" i="8"/>
  <c r="I13" i="8" s="1"/>
  <c r="I12" i="8" s="1"/>
  <c r="K26" i="8"/>
  <c r="H13" i="8" s="1"/>
  <c r="H12" i="8" s="1"/>
  <c r="U25" i="8"/>
  <c r="T25" i="8"/>
  <c r="S25" i="8"/>
  <c r="R25" i="8"/>
  <c r="R26" i="8" s="1"/>
  <c r="O13" i="8" s="1"/>
  <c r="O12" i="8" s="1"/>
  <c r="Q25" i="8"/>
  <c r="P25" i="8"/>
  <c r="O25" i="8"/>
  <c r="O26" i="8" s="1"/>
  <c r="L13" i="8" s="1"/>
  <c r="L12" i="8" s="1"/>
  <c r="N25" i="8"/>
  <c r="N26" i="8" s="1"/>
  <c r="K13" i="8" s="1"/>
  <c r="K12" i="8" s="1"/>
  <c r="M25" i="8"/>
  <c r="L25" i="8"/>
  <c r="K25" i="8"/>
  <c r="J25" i="8"/>
  <c r="J26" i="8" s="1"/>
  <c r="G13" i="8" s="1"/>
  <c r="I24" i="8"/>
  <c r="H24" i="8"/>
  <c r="G24" i="8"/>
  <c r="I23" i="8"/>
  <c r="H23" i="8"/>
  <c r="G23" i="8" s="1"/>
  <c r="I22" i="8"/>
  <c r="H22" i="8"/>
  <c r="G22" i="8" s="1"/>
  <c r="I21" i="8"/>
  <c r="H21" i="8"/>
  <c r="G21" i="8" s="1"/>
  <c r="I20" i="8"/>
  <c r="H20" i="8"/>
  <c r="G20" i="8"/>
  <c r="I19" i="8"/>
  <c r="G19" i="8" s="1"/>
  <c r="H19" i="8"/>
  <c r="I18" i="8"/>
  <c r="H18" i="8"/>
  <c r="G18" i="8"/>
  <c r="I17" i="8"/>
  <c r="I25" i="8" s="1"/>
  <c r="I26" i="8" s="1"/>
  <c r="H17" i="8"/>
  <c r="G17" i="8"/>
  <c r="G79" i="7"/>
  <c r="Q78" i="7"/>
  <c r="P78" i="7"/>
  <c r="L78" i="7"/>
  <c r="K78" i="7"/>
  <c r="I78" i="7"/>
  <c r="F78" i="7"/>
  <c r="Q77" i="7"/>
  <c r="Q79" i="7" s="1"/>
  <c r="M77" i="7"/>
  <c r="M79" i="7" s="1"/>
  <c r="L77" i="7"/>
  <c r="L79" i="7" s="1"/>
  <c r="K77" i="7"/>
  <c r="K79" i="7" s="1"/>
  <c r="J77" i="7"/>
  <c r="I77" i="7"/>
  <c r="I79" i="7" s="1"/>
  <c r="G77" i="7"/>
  <c r="F77" i="7"/>
  <c r="F79" i="7" s="1"/>
  <c r="R76" i="7"/>
  <c r="R75" i="7"/>
  <c r="Q74" i="7"/>
  <c r="P74" i="7"/>
  <c r="P77" i="7" s="1"/>
  <c r="P79" i="7" s="1"/>
  <c r="R73" i="7"/>
  <c r="M72" i="7"/>
  <c r="R72" i="7" s="1"/>
  <c r="O71" i="7"/>
  <c r="O77" i="7" s="1"/>
  <c r="R70" i="7"/>
  <c r="R69" i="7"/>
  <c r="R68" i="7"/>
  <c r="R67" i="7"/>
  <c r="N66" i="7"/>
  <c r="N77" i="7" s="1"/>
  <c r="N79" i="7" s="1"/>
  <c r="J66" i="7"/>
  <c r="J78" i="7" s="1"/>
  <c r="R65" i="7"/>
  <c r="R64" i="7"/>
  <c r="R63" i="7"/>
  <c r="R62" i="7"/>
  <c r="R61" i="7"/>
  <c r="H60" i="7"/>
  <c r="H77" i="7" s="1"/>
  <c r="R59" i="7"/>
  <c r="Q53" i="7"/>
  <c r="L53" i="7"/>
  <c r="K53" i="7"/>
  <c r="J53" i="7"/>
  <c r="I53" i="7"/>
  <c r="F53" i="7"/>
  <c r="R52" i="7"/>
  <c r="R51" i="7"/>
  <c r="Q50" i="7"/>
  <c r="P50" i="7"/>
  <c r="P53" i="7" s="1"/>
  <c r="Q49" i="7"/>
  <c r="R49" i="7" s="1"/>
  <c r="M48" i="7"/>
  <c r="O47" i="7"/>
  <c r="N47" i="7"/>
  <c r="G47" i="7"/>
  <c r="G53" i="7" s="1"/>
  <c r="R46" i="7"/>
  <c r="R44" i="7"/>
  <c r="H43" i="7"/>
  <c r="R43" i="7" s="1"/>
  <c r="N42" i="7"/>
  <c r="R42" i="7" s="1"/>
  <c r="G42" i="7"/>
  <c r="R41" i="7"/>
  <c r="R40" i="7"/>
  <c r="M39" i="7"/>
  <c r="M53" i="7" s="1"/>
  <c r="O38" i="7"/>
  <c r="O53" i="7" s="1"/>
  <c r="N53" i="7"/>
  <c r="G38" i="7"/>
  <c r="R37" i="7"/>
  <c r="H36" i="7"/>
  <c r="R35" i="7"/>
  <c r="R34" i="7"/>
  <c r="Q33" i="7"/>
  <c r="Q54" i="7" s="1"/>
  <c r="Q55" i="7" s="1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R31" i="7"/>
  <c r="Q30" i="7"/>
  <c r="P30" i="7"/>
  <c r="O30" i="7"/>
  <c r="N30" i="7"/>
  <c r="M30" i="7"/>
  <c r="L30" i="7"/>
  <c r="L33" i="7" s="1"/>
  <c r="L54" i="7" s="1"/>
  <c r="L55" i="7" s="1"/>
  <c r="K30" i="7"/>
  <c r="J30" i="7"/>
  <c r="I30" i="7"/>
  <c r="H30" i="7"/>
  <c r="G30" i="7"/>
  <c r="F30" i="7"/>
  <c r="R29" i="7"/>
  <c r="R28" i="7"/>
  <c r="R27" i="7"/>
  <c r="R26" i="7"/>
  <c r="R25" i="7"/>
  <c r="R24" i="7"/>
  <c r="R30" i="7" s="1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R22" i="7"/>
  <c r="Q21" i="7"/>
  <c r="P21" i="7"/>
  <c r="O21" i="7"/>
  <c r="N21" i="7"/>
  <c r="N33" i="7" s="1"/>
  <c r="M21" i="7"/>
  <c r="M33" i="7" s="1"/>
  <c r="L21" i="7"/>
  <c r="K21" i="7"/>
  <c r="K33" i="7" s="1"/>
  <c r="J33" i="7"/>
  <c r="I21" i="7"/>
  <c r="I33" i="7" s="1"/>
  <c r="I54" i="7" s="1"/>
  <c r="I55" i="7" s="1"/>
  <c r="H21" i="7"/>
  <c r="G21" i="7"/>
  <c r="F21" i="7"/>
  <c r="F33" i="7" s="1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Q7" i="7"/>
  <c r="P7" i="7"/>
  <c r="P33" i="7" s="1"/>
  <c r="P54" i="7" s="1"/>
  <c r="P55" i="7" s="1"/>
  <c r="O7" i="7"/>
  <c r="O33" i="7" s="1"/>
  <c r="N7" i="7"/>
  <c r="M7" i="7"/>
  <c r="L7" i="7"/>
  <c r="K7" i="7"/>
  <c r="J7" i="7"/>
  <c r="I7" i="7"/>
  <c r="H7" i="7"/>
  <c r="G7" i="7"/>
  <c r="G33" i="7" s="1"/>
  <c r="F7" i="7"/>
  <c r="R6" i="7"/>
  <c r="R5" i="7"/>
  <c r="R55" i="9" l="1"/>
  <c r="K54" i="7"/>
  <c r="K55" i="7" s="1"/>
  <c r="J54" i="7"/>
  <c r="J55" i="7" s="1"/>
  <c r="H25" i="8"/>
  <c r="H26" i="8" s="1"/>
  <c r="R21" i="7"/>
  <c r="H33" i="7"/>
  <c r="H54" i="7" s="1"/>
  <c r="H55" i="7" s="1"/>
  <c r="H79" i="7"/>
  <c r="H53" i="7"/>
  <c r="E13" i="8"/>
  <c r="G12" i="8"/>
  <c r="E12" i="8" s="1"/>
  <c r="D12" i="8" s="1"/>
  <c r="F13" i="8"/>
  <c r="M12" i="8"/>
  <c r="F12" i="8" s="1"/>
  <c r="G25" i="8"/>
  <c r="G26" i="8" s="1"/>
  <c r="J79" i="7"/>
  <c r="M54" i="7"/>
  <c r="M55" i="7" s="1"/>
  <c r="G54" i="7"/>
  <c r="G55" i="7"/>
  <c r="O54" i="7"/>
  <c r="O55" i="7" s="1"/>
  <c r="F55" i="7"/>
  <c r="F54" i="7"/>
  <c r="N54" i="7"/>
  <c r="N55" i="7" s="1"/>
  <c r="R78" i="7"/>
  <c r="R38" i="7"/>
  <c r="R50" i="7"/>
  <c r="R74" i="7"/>
  <c r="R7" i="7"/>
  <c r="R47" i="7"/>
  <c r="O79" i="7"/>
  <c r="R39" i="7"/>
  <c r="R71" i="7"/>
  <c r="R36" i="7"/>
  <c r="R60" i="7"/>
  <c r="R66" i="7"/>
  <c r="H45" i="6"/>
  <c r="R33" i="7" l="1"/>
  <c r="D13" i="8"/>
  <c r="R77" i="7"/>
  <c r="R79" i="7" s="1"/>
  <c r="R53" i="7"/>
  <c r="J66" i="6"/>
  <c r="R55" i="7" l="1"/>
  <c r="R54" i="7"/>
  <c r="H77" i="6"/>
  <c r="H78" i="6"/>
  <c r="H79" i="6" l="1"/>
  <c r="R45" i="6"/>
  <c r="H36" i="6"/>
  <c r="H60" i="6"/>
  <c r="Q78" i="6"/>
  <c r="P78" i="6"/>
  <c r="N78" i="6"/>
  <c r="M78" i="6"/>
  <c r="L78" i="6"/>
  <c r="K78" i="6"/>
  <c r="I78" i="6"/>
  <c r="G78" i="6"/>
  <c r="F78" i="6"/>
  <c r="M77" i="6"/>
  <c r="M79" i="6" s="1"/>
  <c r="L77" i="6"/>
  <c r="L79" i="6" s="1"/>
  <c r="K77" i="6"/>
  <c r="K79" i="6" s="1"/>
  <c r="J77" i="6"/>
  <c r="I77" i="6"/>
  <c r="I79" i="6" s="1"/>
  <c r="G77" i="6"/>
  <c r="G79" i="6" s="1"/>
  <c r="F77" i="6"/>
  <c r="R76" i="6"/>
  <c r="R75" i="6"/>
  <c r="R74" i="6"/>
  <c r="Q74" i="6"/>
  <c r="Q77" i="6" s="1"/>
  <c r="P74" i="6"/>
  <c r="P77" i="6" s="1"/>
  <c r="R73" i="6"/>
  <c r="R72" i="6"/>
  <c r="M72" i="6"/>
  <c r="O71" i="6"/>
  <c r="O77" i="6" s="1"/>
  <c r="R70" i="6"/>
  <c r="R69" i="6"/>
  <c r="R68" i="6"/>
  <c r="R67" i="6"/>
  <c r="N66" i="6"/>
  <c r="N77" i="6" s="1"/>
  <c r="J78" i="6"/>
  <c r="R65" i="6"/>
  <c r="R64" i="6"/>
  <c r="R63" i="6"/>
  <c r="R62" i="6"/>
  <c r="R61" i="6"/>
  <c r="R59" i="6"/>
  <c r="F54" i="6"/>
  <c r="L53" i="6"/>
  <c r="K53" i="6"/>
  <c r="I53" i="6"/>
  <c r="F53" i="6"/>
  <c r="R52" i="6"/>
  <c r="R51" i="6"/>
  <c r="Q50" i="6"/>
  <c r="P50" i="6"/>
  <c r="P53" i="6" s="1"/>
  <c r="Q49" i="6"/>
  <c r="Q53" i="6" s="1"/>
  <c r="M48" i="6"/>
  <c r="R48" i="6" s="1"/>
  <c r="O47" i="6"/>
  <c r="N47" i="6"/>
  <c r="G47" i="6"/>
  <c r="R46" i="6"/>
  <c r="R44" i="6"/>
  <c r="H43" i="6"/>
  <c r="R43" i="6" s="1"/>
  <c r="N42" i="6"/>
  <c r="J53" i="6"/>
  <c r="G42" i="6"/>
  <c r="R41" i="6"/>
  <c r="R40" i="6"/>
  <c r="M39" i="6"/>
  <c r="M53" i="6" s="1"/>
  <c r="O38" i="6"/>
  <c r="N38" i="6"/>
  <c r="N53" i="6" s="1"/>
  <c r="G38" i="6"/>
  <c r="R38" i="6" s="1"/>
  <c r="R37" i="6"/>
  <c r="R35" i="6"/>
  <c r="R34" i="6"/>
  <c r="F33" i="6"/>
  <c r="F55" i="6" s="1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R31" i="6"/>
  <c r="Q30" i="6"/>
  <c r="P30" i="6"/>
  <c r="O30" i="6"/>
  <c r="N30" i="6"/>
  <c r="M30" i="6"/>
  <c r="L30" i="6"/>
  <c r="K30" i="6"/>
  <c r="J30" i="6"/>
  <c r="I30" i="6"/>
  <c r="H30" i="6"/>
  <c r="G30" i="6"/>
  <c r="F30" i="6"/>
  <c r="R29" i="6"/>
  <c r="R28" i="6"/>
  <c r="R27" i="6"/>
  <c r="R26" i="6"/>
  <c r="R25" i="6"/>
  <c r="R24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R22" i="6"/>
  <c r="Q21" i="6"/>
  <c r="P21" i="6"/>
  <c r="O21" i="6"/>
  <c r="N21" i="6"/>
  <c r="M21" i="6"/>
  <c r="L21" i="6"/>
  <c r="K21" i="6"/>
  <c r="J21" i="6"/>
  <c r="I21" i="6"/>
  <c r="H21" i="6"/>
  <c r="G21" i="6"/>
  <c r="G33" i="6" s="1"/>
  <c r="F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Q7" i="6"/>
  <c r="P7" i="6"/>
  <c r="P33" i="6" s="1"/>
  <c r="O7" i="6"/>
  <c r="O33" i="6" s="1"/>
  <c r="N7" i="6"/>
  <c r="N33" i="6" s="1"/>
  <c r="M7" i="6"/>
  <c r="M33" i="6" s="1"/>
  <c r="M54" i="6" s="1"/>
  <c r="M55" i="6" s="1"/>
  <c r="L7" i="6"/>
  <c r="L33" i="6" s="1"/>
  <c r="L54" i="6" s="1"/>
  <c r="L55" i="6" s="1"/>
  <c r="K7" i="6"/>
  <c r="J7" i="6"/>
  <c r="I7" i="6"/>
  <c r="H7" i="6"/>
  <c r="H33" i="6" s="1"/>
  <c r="G7" i="6"/>
  <c r="F7" i="6"/>
  <c r="R6" i="6"/>
  <c r="R5" i="6"/>
  <c r="O26" i="5"/>
  <c r="L13" i="5" s="1"/>
  <c r="L12" i="5" s="1"/>
  <c r="U25" i="5"/>
  <c r="U26" i="5" s="1"/>
  <c r="R13" i="5" s="1"/>
  <c r="R12" i="5" s="1"/>
  <c r="T25" i="5"/>
  <c r="T26" i="5" s="1"/>
  <c r="Q13" i="5" s="1"/>
  <c r="Q12" i="5" s="1"/>
  <c r="S25" i="5"/>
  <c r="S26" i="5" s="1"/>
  <c r="P13" i="5" s="1"/>
  <c r="P12" i="5" s="1"/>
  <c r="R25" i="5"/>
  <c r="R26" i="5" s="1"/>
  <c r="O13" i="5" s="1"/>
  <c r="O12" i="5" s="1"/>
  <c r="Q25" i="5"/>
  <c r="Q26" i="5" s="1"/>
  <c r="N13" i="5" s="1"/>
  <c r="P25" i="5"/>
  <c r="P26" i="5" s="1"/>
  <c r="M13" i="5" s="1"/>
  <c r="M12" i="5" s="1"/>
  <c r="O25" i="5"/>
  <c r="N25" i="5"/>
  <c r="N26" i="5" s="1"/>
  <c r="K13" i="5" s="1"/>
  <c r="K12" i="5" s="1"/>
  <c r="M25" i="5"/>
  <c r="M26" i="5" s="1"/>
  <c r="J13" i="5" s="1"/>
  <c r="J12" i="5" s="1"/>
  <c r="L25" i="5"/>
  <c r="L26" i="5" s="1"/>
  <c r="I13" i="5" s="1"/>
  <c r="I12" i="5" s="1"/>
  <c r="K25" i="5"/>
  <c r="K26" i="5" s="1"/>
  <c r="H13" i="5" s="1"/>
  <c r="H12" i="5" s="1"/>
  <c r="J25" i="5"/>
  <c r="J26" i="5" s="1"/>
  <c r="G13" i="5" s="1"/>
  <c r="I24" i="5"/>
  <c r="H24" i="5"/>
  <c r="I23" i="5"/>
  <c r="H23" i="5"/>
  <c r="G23" i="5" s="1"/>
  <c r="I22" i="5"/>
  <c r="H22" i="5"/>
  <c r="G22" i="5" s="1"/>
  <c r="I21" i="5"/>
  <c r="H21" i="5"/>
  <c r="G21" i="5" s="1"/>
  <c r="I20" i="5"/>
  <c r="H20" i="5"/>
  <c r="G20" i="5" s="1"/>
  <c r="I19" i="5"/>
  <c r="G19" i="5" s="1"/>
  <c r="H19" i="5"/>
  <c r="I18" i="5"/>
  <c r="H18" i="5"/>
  <c r="G18" i="5" s="1"/>
  <c r="I17" i="5"/>
  <c r="H17" i="5"/>
  <c r="P54" i="6" l="1"/>
  <c r="P55" i="6" s="1"/>
  <c r="N54" i="6"/>
  <c r="N55" i="6" s="1"/>
  <c r="R42" i="6"/>
  <c r="R47" i="6"/>
  <c r="P79" i="6"/>
  <c r="Q79" i="6"/>
  <c r="J33" i="6"/>
  <c r="J54" i="6" s="1"/>
  <c r="J55" i="6" s="1"/>
  <c r="K33" i="6"/>
  <c r="K54" i="6" s="1"/>
  <c r="K55" i="6" s="1"/>
  <c r="F79" i="6"/>
  <c r="R30" i="6"/>
  <c r="R49" i="6"/>
  <c r="R21" i="6"/>
  <c r="Q33" i="6"/>
  <c r="Q54" i="6" s="1"/>
  <c r="Q55" i="6" s="1"/>
  <c r="O53" i="6"/>
  <c r="O54" i="6" s="1"/>
  <c r="O55" i="6" s="1"/>
  <c r="R50" i="6"/>
  <c r="N79" i="6"/>
  <c r="G24" i="5"/>
  <c r="H25" i="5"/>
  <c r="H26" i="5" s="1"/>
  <c r="I25" i="5"/>
  <c r="I26" i="5" s="1"/>
  <c r="I33" i="6"/>
  <c r="I54" i="6" s="1"/>
  <c r="I55" i="6" s="1"/>
  <c r="H53" i="6"/>
  <c r="J79" i="6"/>
  <c r="R7" i="6"/>
  <c r="R36" i="6"/>
  <c r="R71" i="6"/>
  <c r="G53" i="6"/>
  <c r="G54" i="6" s="1"/>
  <c r="R60" i="6"/>
  <c r="R66" i="6"/>
  <c r="R39" i="6"/>
  <c r="O78" i="6"/>
  <c r="O79" i="6" s="1"/>
  <c r="F13" i="5"/>
  <c r="N12" i="5"/>
  <c r="F12" i="5" s="1"/>
  <c r="E13" i="5"/>
  <c r="G12" i="5"/>
  <c r="E12" i="5" s="1"/>
  <c r="G17" i="5"/>
  <c r="R53" i="6" l="1"/>
  <c r="R55" i="6" s="1"/>
  <c r="R33" i="6"/>
  <c r="G25" i="5"/>
  <c r="G26" i="5" s="1"/>
  <c r="D13" i="5"/>
  <c r="H54" i="6"/>
  <c r="H55" i="6" s="1"/>
  <c r="G55" i="6"/>
  <c r="R78" i="6"/>
  <c r="R77" i="6"/>
  <c r="D12" i="5"/>
  <c r="R54" i="6" l="1"/>
  <c r="R79" i="6"/>
  <c r="H47" i="1" l="1"/>
  <c r="N38" i="1"/>
  <c r="J13" i="4" l="1"/>
  <c r="J12" i="4" s="1"/>
  <c r="R13" i="4"/>
  <c r="R12" i="4" s="1"/>
  <c r="H17" i="4"/>
  <c r="G17" i="4" s="1"/>
  <c r="I17" i="4"/>
  <c r="H18" i="4"/>
  <c r="G18" i="4" s="1"/>
  <c r="I18" i="4"/>
  <c r="H19" i="4"/>
  <c r="G19" i="4" s="1"/>
  <c r="I19" i="4"/>
  <c r="H20" i="4"/>
  <c r="H25" i="4" s="1"/>
  <c r="H26" i="4" s="1"/>
  <c r="I20" i="4"/>
  <c r="H21" i="4"/>
  <c r="G21" i="4" s="1"/>
  <c r="I21" i="4"/>
  <c r="H22" i="4"/>
  <c r="I22" i="4"/>
  <c r="G22" i="4" s="1"/>
  <c r="G23" i="4"/>
  <c r="H23" i="4"/>
  <c r="I23" i="4"/>
  <c r="H24" i="4"/>
  <c r="I24" i="4"/>
  <c r="G24" i="4" s="1"/>
  <c r="I25" i="4"/>
  <c r="I26" i="4" s="1"/>
  <c r="J25" i="4"/>
  <c r="K25" i="4"/>
  <c r="L25" i="4"/>
  <c r="M25" i="4"/>
  <c r="N25" i="4"/>
  <c r="N26" i="4" s="1"/>
  <c r="K13" i="4" s="1"/>
  <c r="K12" i="4" s="1"/>
  <c r="O25" i="4"/>
  <c r="P25" i="4"/>
  <c r="P26" i="4" s="1"/>
  <c r="M13" i="4" s="1"/>
  <c r="Q25" i="4"/>
  <c r="Q26" i="4" s="1"/>
  <c r="N13" i="4" s="1"/>
  <c r="N12" i="4" s="1"/>
  <c r="R25" i="4"/>
  <c r="S25" i="4"/>
  <c r="T25" i="4"/>
  <c r="U25" i="4"/>
  <c r="J26" i="4"/>
  <c r="G13" i="4" s="1"/>
  <c r="K26" i="4"/>
  <c r="H13" i="4" s="1"/>
  <c r="H12" i="4" s="1"/>
  <c r="L26" i="4"/>
  <c r="I13" i="4" s="1"/>
  <c r="I12" i="4" s="1"/>
  <c r="M26" i="4"/>
  <c r="O26" i="4"/>
  <c r="L13" i="4" s="1"/>
  <c r="L12" i="4" s="1"/>
  <c r="R26" i="4"/>
  <c r="O13" i="4" s="1"/>
  <c r="O12" i="4" s="1"/>
  <c r="S26" i="4"/>
  <c r="P13" i="4" s="1"/>
  <c r="P12" i="4" s="1"/>
  <c r="T26" i="4"/>
  <c r="Q13" i="4" s="1"/>
  <c r="Q12" i="4" s="1"/>
  <c r="U26" i="4"/>
  <c r="R5" i="3"/>
  <c r="R6" i="3"/>
  <c r="F7" i="3"/>
  <c r="G7" i="3"/>
  <c r="H7" i="3"/>
  <c r="I7" i="3"/>
  <c r="J7" i="3"/>
  <c r="J33" i="3" s="1"/>
  <c r="J54" i="3" s="1"/>
  <c r="J55" i="3" s="1"/>
  <c r="K7" i="3"/>
  <c r="L7" i="3"/>
  <c r="M7" i="3"/>
  <c r="M33" i="3" s="1"/>
  <c r="M54" i="3" s="1"/>
  <c r="M55" i="3" s="1"/>
  <c r="N7" i="3"/>
  <c r="O7" i="3"/>
  <c r="P7" i="3"/>
  <c r="Q7" i="3"/>
  <c r="R7" i="3"/>
  <c r="R33" i="3" s="1"/>
  <c r="R8" i="3"/>
  <c r="R9" i="3"/>
  <c r="R10" i="3"/>
  <c r="R21" i="3" s="1"/>
  <c r="R11" i="3"/>
  <c r="R12" i="3"/>
  <c r="R13" i="3"/>
  <c r="R14" i="3"/>
  <c r="R15" i="3"/>
  <c r="R16" i="3"/>
  <c r="R17" i="3"/>
  <c r="R18" i="3"/>
  <c r="R19" i="3"/>
  <c r="R20" i="3"/>
  <c r="F21" i="3"/>
  <c r="G21" i="3"/>
  <c r="H21" i="3"/>
  <c r="H33" i="3" s="1"/>
  <c r="I21" i="3"/>
  <c r="J21" i="3"/>
  <c r="K21" i="3"/>
  <c r="K33" i="3" s="1"/>
  <c r="K54" i="3" s="1"/>
  <c r="K55" i="3" s="1"/>
  <c r="L21" i="3"/>
  <c r="M21" i="3"/>
  <c r="N21" i="3"/>
  <c r="O21" i="3"/>
  <c r="P21" i="3"/>
  <c r="P33" i="3" s="1"/>
  <c r="P54" i="3" s="1"/>
  <c r="P55" i="3" s="1"/>
  <c r="Q21" i="3"/>
  <c r="R22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R24" i="3"/>
  <c r="R25" i="3"/>
  <c r="R26" i="3"/>
  <c r="R27" i="3"/>
  <c r="R28" i="3"/>
  <c r="R29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R31" i="3"/>
  <c r="R32" i="3" s="1"/>
  <c r="F32" i="3"/>
  <c r="G32" i="3"/>
  <c r="H32" i="3"/>
  <c r="I32" i="3"/>
  <c r="I33" i="3" s="1"/>
  <c r="I54" i="3" s="1"/>
  <c r="I55" i="3" s="1"/>
  <c r="J32" i="3"/>
  <c r="K32" i="3"/>
  <c r="L32" i="3"/>
  <c r="M32" i="3"/>
  <c r="N32" i="3"/>
  <c r="N33" i="3" s="1"/>
  <c r="O32" i="3"/>
  <c r="P32" i="3"/>
  <c r="Q32" i="3"/>
  <c r="Q33" i="3" s="1"/>
  <c r="Q54" i="3" s="1"/>
  <c r="Q55" i="3" s="1"/>
  <c r="F33" i="3"/>
  <c r="F55" i="3" s="1"/>
  <c r="G33" i="3"/>
  <c r="G55" i="3" s="1"/>
  <c r="L33" i="3"/>
  <c r="L54" i="3" s="1"/>
  <c r="L55" i="3" s="1"/>
  <c r="O33" i="3"/>
  <c r="O54" i="3" s="1"/>
  <c r="O55" i="3" s="1"/>
  <c r="R34" i="3"/>
  <c r="R35" i="3"/>
  <c r="H36" i="3"/>
  <c r="R36" i="3"/>
  <c r="R37" i="3"/>
  <c r="G38" i="3"/>
  <c r="R38" i="3" s="1"/>
  <c r="O38" i="3"/>
  <c r="M39" i="3"/>
  <c r="R39" i="3"/>
  <c r="R40" i="3"/>
  <c r="R41" i="3"/>
  <c r="G42" i="3"/>
  <c r="G53" i="3" s="1"/>
  <c r="J42" i="3"/>
  <c r="N42" i="3"/>
  <c r="N53" i="3" s="1"/>
  <c r="G43" i="3"/>
  <c r="R43" i="3"/>
  <c r="R44" i="3"/>
  <c r="R45" i="3"/>
  <c r="R46" i="3"/>
  <c r="G47" i="3"/>
  <c r="H47" i="3"/>
  <c r="H53" i="3" s="1"/>
  <c r="N47" i="3"/>
  <c r="O47" i="3"/>
  <c r="R47" i="3"/>
  <c r="H48" i="3"/>
  <c r="M48" i="3"/>
  <c r="R48" i="3"/>
  <c r="Q49" i="3"/>
  <c r="R49" i="3"/>
  <c r="H50" i="3"/>
  <c r="P50" i="3"/>
  <c r="P53" i="3" s="1"/>
  <c r="Q50" i="3"/>
  <c r="Q53" i="3" s="1"/>
  <c r="R51" i="3"/>
  <c r="R52" i="3"/>
  <c r="F53" i="3"/>
  <c r="I53" i="3"/>
  <c r="J53" i="3"/>
  <c r="K53" i="3"/>
  <c r="L53" i="3"/>
  <c r="M53" i="3"/>
  <c r="O53" i="3"/>
  <c r="R59" i="3"/>
  <c r="R60" i="3"/>
  <c r="R61" i="3"/>
  <c r="R62" i="3"/>
  <c r="R63" i="3"/>
  <c r="R64" i="3"/>
  <c r="R65" i="3"/>
  <c r="G66" i="3"/>
  <c r="G78" i="3" s="1"/>
  <c r="J66" i="3"/>
  <c r="J77" i="3" s="1"/>
  <c r="N66" i="3"/>
  <c r="R67" i="3"/>
  <c r="R68" i="3"/>
  <c r="G69" i="3"/>
  <c r="R69" i="3" s="1"/>
  <c r="R70" i="3"/>
  <c r="H71" i="3"/>
  <c r="R71" i="3" s="1"/>
  <c r="O71" i="3"/>
  <c r="O78" i="3" s="1"/>
  <c r="H72" i="3"/>
  <c r="M72" i="3"/>
  <c r="R72" i="3"/>
  <c r="R73" i="3"/>
  <c r="H74" i="3"/>
  <c r="P74" i="3"/>
  <c r="R74" i="3" s="1"/>
  <c r="Q74" i="3"/>
  <c r="R75" i="3"/>
  <c r="R76" i="3"/>
  <c r="F77" i="3"/>
  <c r="F79" i="3" s="1"/>
  <c r="I77" i="3"/>
  <c r="K77" i="3"/>
  <c r="K79" i="3" s="1"/>
  <c r="L77" i="3"/>
  <c r="M77" i="3"/>
  <c r="M79" i="3" s="1"/>
  <c r="N77" i="3"/>
  <c r="N79" i="3" s="1"/>
  <c r="Q77" i="3"/>
  <c r="F78" i="3"/>
  <c r="I78" i="3"/>
  <c r="K78" i="3"/>
  <c r="L78" i="3"/>
  <c r="L79" i="3" s="1"/>
  <c r="M78" i="3"/>
  <c r="N78" i="3"/>
  <c r="P78" i="3"/>
  <c r="Q78" i="3"/>
  <c r="I79" i="3"/>
  <c r="Q79" i="3"/>
  <c r="M12" i="4" l="1"/>
  <c r="F12" i="4" s="1"/>
  <c r="F13" i="4"/>
  <c r="G12" i="4"/>
  <c r="E12" i="4" s="1"/>
  <c r="D12" i="4" s="1"/>
  <c r="E13" i="4"/>
  <c r="G20" i="4"/>
  <c r="G25" i="4" s="1"/>
  <c r="G26" i="4" s="1"/>
  <c r="R53" i="3"/>
  <c r="R55" i="3" s="1"/>
  <c r="H54" i="3"/>
  <c r="H55" i="3" s="1"/>
  <c r="N54" i="3"/>
  <c r="N55" i="3" s="1"/>
  <c r="P77" i="3"/>
  <c r="P79" i="3" s="1"/>
  <c r="H77" i="3"/>
  <c r="G54" i="3"/>
  <c r="J78" i="3"/>
  <c r="J79" i="3" s="1"/>
  <c r="O77" i="3"/>
  <c r="O79" i="3" s="1"/>
  <c r="G77" i="3"/>
  <c r="G79" i="3" s="1"/>
  <c r="F54" i="3"/>
  <c r="R50" i="3"/>
  <c r="H78" i="3"/>
  <c r="R78" i="3" s="1"/>
  <c r="R42" i="3"/>
  <c r="R66" i="3"/>
  <c r="R77" i="3" s="1"/>
  <c r="D13" i="4" l="1"/>
  <c r="R79" i="3"/>
  <c r="R54" i="3"/>
  <c r="H79" i="3"/>
  <c r="H36" i="1"/>
  <c r="H60" i="1"/>
  <c r="H43" i="1" l="1"/>
  <c r="G42" i="1"/>
  <c r="G47" i="1"/>
  <c r="G38" i="1" l="1"/>
  <c r="H78" i="1" l="1"/>
  <c r="I78" i="1"/>
  <c r="K78" i="1"/>
  <c r="L78" i="1"/>
  <c r="M78" i="1"/>
  <c r="P78" i="1"/>
  <c r="Q78" i="1"/>
  <c r="F78" i="1"/>
  <c r="G78" i="1"/>
  <c r="H71" i="1"/>
  <c r="M72" i="1"/>
  <c r="R72" i="1" s="1"/>
  <c r="M48" i="1"/>
  <c r="R48" i="1"/>
  <c r="R69" i="1" l="1"/>
  <c r="M39" i="1" l="1"/>
  <c r="H22" i="2"/>
  <c r="I22" i="2"/>
  <c r="O71" i="1" l="1"/>
  <c r="O47" i="1"/>
  <c r="L53" i="1"/>
  <c r="O78" i="1" l="1"/>
  <c r="R71" i="1"/>
  <c r="O38" i="1"/>
  <c r="R68" i="1"/>
  <c r="R44" i="1"/>
  <c r="R28" i="1" l="1"/>
  <c r="I77" i="1" l="1"/>
  <c r="R36" i="1"/>
  <c r="Q50" i="1" l="1"/>
  <c r="N66" i="1"/>
  <c r="N78" i="1" s="1"/>
  <c r="J66" i="1"/>
  <c r="J78" i="1" s="1"/>
  <c r="N42" i="1"/>
  <c r="J42" i="1"/>
  <c r="R78" i="1" l="1"/>
  <c r="R42" i="1"/>
  <c r="R66" i="1"/>
  <c r="Q74" i="1"/>
  <c r="R75" i="1"/>
  <c r="R73" i="1"/>
  <c r="R67" i="1"/>
  <c r="R63" i="1"/>
  <c r="R62" i="1"/>
  <c r="R64" i="1"/>
  <c r="R65" i="1"/>
  <c r="R70" i="1"/>
  <c r="H30" i="1"/>
  <c r="I30" i="1"/>
  <c r="J30" i="1"/>
  <c r="K30" i="1"/>
  <c r="L30" i="1"/>
  <c r="M30" i="1"/>
  <c r="N30" i="1"/>
  <c r="O30" i="1"/>
  <c r="P30" i="1"/>
  <c r="Q30" i="1"/>
  <c r="F30" i="1"/>
  <c r="G30" i="1"/>
  <c r="R25" i="1" l="1"/>
  <c r="R26" i="1"/>
  <c r="R9" i="1"/>
  <c r="R10" i="1"/>
  <c r="R11" i="1"/>
  <c r="R12" i="1"/>
  <c r="R13" i="1"/>
  <c r="R14" i="1"/>
  <c r="R15" i="1"/>
  <c r="R16" i="1"/>
  <c r="R17" i="1"/>
  <c r="R18" i="1"/>
  <c r="R19" i="1"/>
  <c r="R20" i="1"/>
  <c r="R8" i="1"/>
  <c r="R27" i="1"/>
  <c r="R29" i="1"/>
  <c r="R21" i="1" l="1"/>
  <c r="R40" i="1"/>
  <c r="R41" i="1"/>
  <c r="R45" i="1"/>
  <c r="R46" i="1"/>
  <c r="R51" i="1"/>
  <c r="R52" i="1"/>
  <c r="O53" i="1"/>
  <c r="N47" i="1"/>
  <c r="R76" i="1"/>
  <c r="P50" i="1"/>
  <c r="P53" i="1" s="1"/>
  <c r="Q49" i="1"/>
  <c r="R49" i="1" s="1"/>
  <c r="P74" i="1"/>
  <c r="P77" i="1" s="1"/>
  <c r="R39" i="1"/>
  <c r="R6" i="1"/>
  <c r="U25" i="2"/>
  <c r="U26" i="2" s="1"/>
  <c r="R13" i="2" s="1"/>
  <c r="R12" i="2" s="1"/>
  <c r="T25" i="2"/>
  <c r="T26" i="2" s="1"/>
  <c r="Q13" i="2" s="1"/>
  <c r="Q12" i="2" s="1"/>
  <c r="S25" i="2"/>
  <c r="S26" i="2" s="1"/>
  <c r="P13" i="2" s="1"/>
  <c r="P12" i="2" s="1"/>
  <c r="R25" i="2"/>
  <c r="R26" i="2" s="1"/>
  <c r="O13" i="2" s="1"/>
  <c r="O12" i="2" s="1"/>
  <c r="Q25" i="2"/>
  <c r="Q26" i="2" s="1"/>
  <c r="N13" i="2" s="1"/>
  <c r="N12" i="2" s="1"/>
  <c r="P25" i="2"/>
  <c r="P26" i="2" s="1"/>
  <c r="M13" i="2" s="1"/>
  <c r="O25" i="2"/>
  <c r="O26" i="2" s="1"/>
  <c r="L13" i="2" s="1"/>
  <c r="L12" i="2" s="1"/>
  <c r="N25" i="2"/>
  <c r="N26" i="2" s="1"/>
  <c r="K13" i="2" s="1"/>
  <c r="K12" i="2" s="1"/>
  <c r="M25" i="2"/>
  <c r="M26" i="2" s="1"/>
  <c r="J13" i="2" s="1"/>
  <c r="J12" i="2" s="1"/>
  <c r="L25" i="2"/>
  <c r="L26" i="2" s="1"/>
  <c r="I13" i="2" s="1"/>
  <c r="I12" i="2" s="1"/>
  <c r="K25" i="2"/>
  <c r="K26" i="2" s="1"/>
  <c r="H13" i="2" s="1"/>
  <c r="H12" i="2" s="1"/>
  <c r="J25" i="2"/>
  <c r="J26" i="2" s="1"/>
  <c r="G13" i="2" s="1"/>
  <c r="I24" i="2"/>
  <c r="H24" i="2"/>
  <c r="I23" i="2"/>
  <c r="H23" i="2"/>
  <c r="I21" i="2"/>
  <c r="H21" i="2"/>
  <c r="I20" i="2"/>
  <c r="G20" i="2" s="1"/>
  <c r="H20" i="2"/>
  <c r="I19" i="2"/>
  <c r="H19" i="2"/>
  <c r="I18" i="2"/>
  <c r="H18" i="2"/>
  <c r="G18" i="2"/>
  <c r="I17" i="2"/>
  <c r="H17" i="2"/>
  <c r="O77" i="1"/>
  <c r="N77" i="1"/>
  <c r="M77" i="1"/>
  <c r="F77" i="1"/>
  <c r="R61" i="1"/>
  <c r="R60" i="1"/>
  <c r="R59" i="1"/>
  <c r="F53" i="1"/>
  <c r="Q32" i="1"/>
  <c r="P32" i="1"/>
  <c r="O32" i="1"/>
  <c r="N32" i="1"/>
  <c r="M32" i="1"/>
  <c r="L32" i="1"/>
  <c r="K32" i="1"/>
  <c r="J32" i="1"/>
  <c r="I32" i="1"/>
  <c r="H32" i="1"/>
  <c r="G32" i="1"/>
  <c r="F32" i="1"/>
  <c r="R31" i="1"/>
  <c r="R32" i="1" s="1"/>
  <c r="R24" i="1"/>
  <c r="Q23" i="1"/>
  <c r="P23" i="1"/>
  <c r="O23" i="1"/>
  <c r="N23" i="1"/>
  <c r="M23" i="1"/>
  <c r="L23" i="1"/>
  <c r="K23" i="1"/>
  <c r="J23" i="1"/>
  <c r="I23" i="1"/>
  <c r="H23" i="1"/>
  <c r="G23" i="1"/>
  <c r="F23" i="1"/>
  <c r="R22" i="1"/>
  <c r="R23" i="1" s="1"/>
  <c r="P21" i="1"/>
  <c r="O21" i="1"/>
  <c r="N21" i="1"/>
  <c r="M21" i="1"/>
  <c r="L21" i="1"/>
  <c r="J21" i="1"/>
  <c r="I21" i="1"/>
  <c r="H21" i="1"/>
  <c r="G21" i="1"/>
  <c r="F21" i="1"/>
  <c r="K21" i="1"/>
  <c r="Q7" i="1"/>
  <c r="P7" i="1"/>
  <c r="O7" i="1"/>
  <c r="N7" i="1"/>
  <c r="M7" i="1"/>
  <c r="L7" i="1"/>
  <c r="K7" i="1"/>
  <c r="J7" i="1"/>
  <c r="I7" i="1"/>
  <c r="H7" i="1"/>
  <c r="G7" i="1"/>
  <c r="F7" i="1"/>
  <c r="R5" i="1"/>
  <c r="R30" i="1" l="1"/>
  <c r="G24" i="2"/>
  <c r="G22" i="2"/>
  <c r="G23" i="2"/>
  <c r="I25" i="2"/>
  <c r="I26" i="2" s="1"/>
  <c r="G21" i="2"/>
  <c r="G17" i="2"/>
  <c r="G19" i="2"/>
  <c r="H25" i="2"/>
  <c r="H26" i="2" s="1"/>
  <c r="H77" i="1"/>
  <c r="H79" i="1" s="1"/>
  <c r="R74" i="1"/>
  <c r="R77" i="1" s="1"/>
  <c r="R38" i="1"/>
  <c r="R47" i="1"/>
  <c r="R43" i="1"/>
  <c r="G77" i="1"/>
  <c r="R50" i="1"/>
  <c r="G53" i="1"/>
  <c r="F79" i="1"/>
  <c r="L77" i="1"/>
  <c r="L79" i="1" s="1"/>
  <c r="P79" i="1"/>
  <c r="R34" i="1"/>
  <c r="Q21" i="1"/>
  <c r="Q33" i="1" s="1"/>
  <c r="M53" i="1"/>
  <c r="F33" i="1"/>
  <c r="F54" i="1" s="1"/>
  <c r="O79" i="1"/>
  <c r="M79" i="1"/>
  <c r="N33" i="1"/>
  <c r="N53" i="1"/>
  <c r="K53" i="1"/>
  <c r="N79" i="1"/>
  <c r="P33" i="1"/>
  <c r="P54" i="1" s="1"/>
  <c r="P55" i="1" s="1"/>
  <c r="I33" i="1"/>
  <c r="O33" i="1"/>
  <c r="O54" i="1" s="1"/>
  <c r="O55" i="1" s="1"/>
  <c r="R37" i="1"/>
  <c r="Q53" i="1"/>
  <c r="R35" i="1"/>
  <c r="L33" i="1"/>
  <c r="I53" i="1"/>
  <c r="J77" i="1"/>
  <c r="M33" i="1"/>
  <c r="J53" i="1"/>
  <c r="K77" i="1"/>
  <c r="K33" i="1"/>
  <c r="J33" i="1"/>
  <c r="H33" i="1"/>
  <c r="G33" i="1"/>
  <c r="E13" i="2"/>
  <c r="G12" i="2"/>
  <c r="E12" i="2" s="1"/>
  <c r="M12" i="2"/>
  <c r="F12" i="2" s="1"/>
  <c r="F13" i="2"/>
  <c r="H53" i="1"/>
  <c r="Q77" i="1"/>
  <c r="R7" i="1"/>
  <c r="R53" i="1" l="1"/>
  <c r="G25" i="2"/>
  <c r="G26" i="2" s="1"/>
  <c r="D12" i="2"/>
  <c r="D13" i="2"/>
  <c r="R79" i="1"/>
  <c r="G79" i="1"/>
  <c r="G54" i="1"/>
  <c r="J79" i="1"/>
  <c r="N54" i="1"/>
  <c r="N55" i="1" s="1"/>
  <c r="L54" i="1"/>
  <c r="L55" i="1" s="1"/>
  <c r="I54" i="1"/>
  <c r="I55" i="1" s="1"/>
  <c r="K79" i="1"/>
  <c r="M54" i="1"/>
  <c r="M55" i="1" s="1"/>
  <c r="Q54" i="1"/>
  <c r="Q55" i="1" s="1"/>
  <c r="I79" i="1"/>
  <c r="F55" i="1"/>
  <c r="K54" i="1"/>
  <c r="K55" i="1" s="1"/>
  <c r="R33" i="1"/>
  <c r="Q79" i="1"/>
  <c r="J54" i="1"/>
  <c r="J55" i="1" s="1"/>
  <c r="H54" i="1"/>
  <c r="H55" i="1" s="1"/>
  <c r="G55" i="1"/>
  <c r="R54" i="1" l="1"/>
  <c r="R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M5" authorId="0" shapeId="0" xr:uid="{DA475519-4216-429C-9806-2603A9CD3BB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50000-&gt;80000</t>
        </r>
      </text>
    </comment>
    <comment ref="N5" authorId="0" shapeId="0" xr:uid="{9501706C-0780-45DB-80C7-66568DB3EF6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80000-&gt;50000</t>
        </r>
      </text>
    </comment>
    <comment ref="M6" authorId="0" shapeId="0" xr:uid="{DC44B1AB-45FC-43C6-BF3B-091A1214AC8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150000-&gt;210000</t>
        </r>
      </text>
    </comment>
    <comment ref="N6" authorId="0" shapeId="0" xr:uid="{32CAD1BD-38A0-4712-9445-2E984C0E08D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220000-&gt;160000</t>
        </r>
      </text>
    </comment>
    <comment ref="O19" authorId="0" shapeId="0" xr:uid="{4575116D-3B01-4B85-BC49-B0D961E3760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단가상승</t>
        </r>
        <r>
          <rPr>
            <sz val="9"/>
            <color indexed="81"/>
            <rFont val="Tahoma"/>
            <family val="2"/>
          </rPr>
          <t xml:space="preserve"> 510-&gt;1030</t>
        </r>
      </text>
    </comment>
    <comment ref="P19" authorId="0" shapeId="0" xr:uid="{FA4493F6-40A6-4920-B375-68A22F6DB58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단가상승
</t>
        </r>
        <r>
          <rPr>
            <sz val="9"/>
            <color indexed="81"/>
            <rFont val="Tahoma"/>
            <family val="2"/>
          </rPr>
          <t>500-&gt;1000</t>
        </r>
      </text>
    </comment>
    <comment ref="Q19" authorId="0" shapeId="0" xr:uid="{2686AB05-64D8-4175-9032-F6A25AC3AD8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단가상승</t>
        </r>
        <r>
          <rPr>
            <sz val="9"/>
            <color indexed="81"/>
            <rFont val="Tahoma"/>
            <family val="2"/>
          </rPr>
          <t xml:space="preserve"> 510-&gt;1030</t>
        </r>
      </text>
    </comment>
    <comment ref="O20" authorId="0" shapeId="0" xr:uid="{7CB799F9-3E92-477D-9E28-E782260B98A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단가상승
</t>
        </r>
        <r>
          <rPr>
            <sz val="9"/>
            <color indexed="81"/>
            <rFont val="Tahoma"/>
            <family val="2"/>
          </rPr>
          <t>3720-&gt;6200</t>
        </r>
      </text>
    </comment>
    <comment ref="P20" authorId="0" shapeId="0" xr:uid="{22161494-2BBB-465C-ADBA-CBBA9A54999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단가상승
</t>
        </r>
        <r>
          <rPr>
            <sz val="9"/>
            <color indexed="81"/>
            <rFont val="Tahoma"/>
            <family val="2"/>
          </rPr>
          <t>3600-&gt;6000</t>
        </r>
      </text>
    </comment>
    <comment ref="Q20" authorId="0" shapeId="0" xr:uid="{5FDA88B5-F605-4AA7-8FB7-C5252185BA9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단가상승
</t>
        </r>
        <r>
          <rPr>
            <sz val="9"/>
            <color indexed="81"/>
            <rFont val="Tahoma"/>
            <family val="2"/>
          </rPr>
          <t>3720-&gt;6200</t>
        </r>
      </text>
    </comment>
    <comment ref="P38" authorId="0" shapeId="0" xr:uid="{94FFBAE2-1D02-428F-9782-D5FA829BB51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추가집행</t>
        </r>
      </text>
    </comment>
    <comment ref="M39" authorId="0" shapeId="0" xr:uid="{2D0B2300-DD37-4281-B004-1563FB7D377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</text>
    </comment>
    <comment ref="P43" authorId="0" shapeId="0" xr:uid="{08B039E3-AE53-4439-B155-E8B3CB3300E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이모티콘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추가제작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M5" authorId="0" shapeId="0" xr:uid="{A03DF139-D40F-4EDE-876C-F01048DD0A7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50000-&gt;80000</t>
        </r>
      </text>
    </comment>
    <comment ref="N5" authorId="0" shapeId="0" xr:uid="{5789E50B-9AFA-4396-A836-C17AFB15432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80000-&gt;50000</t>
        </r>
      </text>
    </comment>
    <comment ref="M6" authorId="0" shapeId="0" xr:uid="{198888C2-6242-434D-8057-B34080277E6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150000-&gt;210000</t>
        </r>
      </text>
    </comment>
    <comment ref="N6" authorId="0" shapeId="0" xr:uid="{C28ED549-5729-481B-98F0-86363349277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220000-&gt;160000</t>
        </r>
      </text>
    </comment>
    <comment ref="O19" authorId="0" shapeId="0" xr:uid="{E3DBD1D8-0256-4595-B49C-6004ABF208F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단가상승</t>
        </r>
        <r>
          <rPr>
            <sz val="9"/>
            <color indexed="81"/>
            <rFont val="Tahoma"/>
            <family val="2"/>
          </rPr>
          <t xml:space="preserve"> 510-&gt;1030</t>
        </r>
      </text>
    </comment>
    <comment ref="P19" authorId="0" shapeId="0" xr:uid="{3664B55E-98EE-4A08-9264-7D9A8FA057D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단가상승
</t>
        </r>
        <r>
          <rPr>
            <sz val="9"/>
            <color indexed="81"/>
            <rFont val="Tahoma"/>
            <family val="2"/>
          </rPr>
          <t>500-&gt;1000</t>
        </r>
      </text>
    </comment>
    <comment ref="Q19" authorId="0" shapeId="0" xr:uid="{CFCB697F-12F4-45D6-B3A9-3A69EC24DA2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단가상승</t>
        </r>
        <r>
          <rPr>
            <sz val="9"/>
            <color indexed="81"/>
            <rFont val="Tahoma"/>
            <family val="2"/>
          </rPr>
          <t xml:space="preserve"> 510-&gt;1030</t>
        </r>
      </text>
    </comment>
    <comment ref="O20" authorId="0" shapeId="0" xr:uid="{F83CC43D-5887-432E-80F9-A7145DBAF22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단가상승
</t>
        </r>
        <r>
          <rPr>
            <sz val="9"/>
            <color indexed="81"/>
            <rFont val="Tahoma"/>
            <family val="2"/>
          </rPr>
          <t>3720-&gt;6200</t>
        </r>
      </text>
    </comment>
    <comment ref="P20" authorId="0" shapeId="0" xr:uid="{9A086FD9-62B7-4CB7-98FE-71518A27A6F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단가상승
</t>
        </r>
        <r>
          <rPr>
            <sz val="9"/>
            <color indexed="81"/>
            <rFont val="Tahoma"/>
            <family val="2"/>
          </rPr>
          <t>3600-&gt;6000</t>
        </r>
      </text>
    </comment>
    <comment ref="Q20" authorId="0" shapeId="0" xr:uid="{36A0C3D3-1C4C-4EBA-AC12-AA3E87C2512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단가상승
</t>
        </r>
        <r>
          <rPr>
            <sz val="9"/>
            <color indexed="81"/>
            <rFont val="Tahoma"/>
            <family val="2"/>
          </rPr>
          <t>3720-&gt;6200</t>
        </r>
      </text>
    </comment>
    <comment ref="P38" authorId="0" shapeId="0" xr:uid="{0749F1D7-3664-4F9D-8B4C-60281A56CAF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추가집행</t>
        </r>
      </text>
    </comment>
    <comment ref="M39" authorId="0" shapeId="0" xr:uid="{8F1A5A84-5167-481B-8ACA-0298D60A1B3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</text>
    </comment>
    <comment ref="P43" authorId="0" shapeId="0" xr:uid="{B329F3E2-5270-4267-AD06-DCA85D3F257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이모티콘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추가제작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M5" authorId="0" shapeId="0" xr:uid="{88B855A9-D9FE-4838-B74A-DE6F065CC49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50000-&gt;80000</t>
        </r>
      </text>
    </comment>
    <comment ref="N5" authorId="0" shapeId="0" xr:uid="{1718C7B0-E3B0-413C-8DD3-A84D97EDF26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80000-&gt;50000</t>
        </r>
      </text>
    </comment>
    <comment ref="M6" authorId="0" shapeId="0" xr:uid="{08282335-C794-4263-9BA0-AB4F63CC430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150000-&gt;210000</t>
        </r>
      </text>
    </comment>
    <comment ref="N6" authorId="0" shapeId="0" xr:uid="{35E50971-87DB-46F9-B57A-F25BD43E882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220000-&gt;160000</t>
        </r>
      </text>
    </comment>
    <comment ref="O19" authorId="0" shapeId="0" xr:uid="{C7472077-DB9D-4814-B255-A5E35C6B49B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단가상승</t>
        </r>
        <r>
          <rPr>
            <sz val="9"/>
            <color indexed="81"/>
            <rFont val="Tahoma"/>
            <family val="2"/>
          </rPr>
          <t xml:space="preserve"> 510-&gt;1030</t>
        </r>
      </text>
    </comment>
    <comment ref="P19" authorId="0" shapeId="0" xr:uid="{08446538-B178-4B94-98FD-65AC0A1EC2D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단가상승
</t>
        </r>
        <r>
          <rPr>
            <sz val="9"/>
            <color indexed="81"/>
            <rFont val="Tahoma"/>
            <family val="2"/>
          </rPr>
          <t>500-&gt;1000</t>
        </r>
      </text>
    </comment>
    <comment ref="Q19" authorId="0" shapeId="0" xr:uid="{19113EE3-E797-4C52-AB84-D8AB67C6360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단가상승</t>
        </r>
        <r>
          <rPr>
            <sz val="9"/>
            <color indexed="81"/>
            <rFont val="Tahoma"/>
            <family val="2"/>
          </rPr>
          <t xml:space="preserve"> 510-&gt;1030</t>
        </r>
      </text>
    </comment>
    <comment ref="O20" authorId="0" shapeId="0" xr:uid="{8445A483-021E-469A-8BA3-BAEE495CC7A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단가상승
</t>
        </r>
        <r>
          <rPr>
            <sz val="9"/>
            <color indexed="81"/>
            <rFont val="Tahoma"/>
            <family val="2"/>
          </rPr>
          <t>3720-&gt;6200</t>
        </r>
      </text>
    </comment>
    <comment ref="P20" authorId="0" shapeId="0" xr:uid="{257950DE-D66D-431B-A014-E267832EC27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단가상승
</t>
        </r>
        <r>
          <rPr>
            <sz val="9"/>
            <color indexed="81"/>
            <rFont val="Tahoma"/>
            <family val="2"/>
          </rPr>
          <t>3600-&gt;6000</t>
        </r>
      </text>
    </comment>
    <comment ref="Q20" authorId="0" shapeId="0" xr:uid="{C6CC1448-9E7D-4C2F-B1AF-1E080C35A68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단가상승
</t>
        </r>
        <r>
          <rPr>
            <sz val="9"/>
            <color indexed="81"/>
            <rFont val="Tahoma"/>
            <family val="2"/>
          </rPr>
          <t>3720-&gt;6200</t>
        </r>
      </text>
    </comment>
    <comment ref="M39" authorId="0" shapeId="0" xr:uid="{798A11D7-169B-411A-9ACA-082F2961D42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</text>
    </comment>
    <comment ref="O39" authorId="0" shapeId="0" xr:uid="{18918E37-3A8B-4100-A6C2-29E52B42076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</t>
        </r>
        <r>
          <rPr>
            <sz val="9"/>
            <color indexed="81"/>
            <rFont val="돋움"/>
            <family val="3"/>
            <charset val="129"/>
          </rPr>
          <t>월에서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</text>
    </comment>
    <comment ref="O49" authorId="0" shapeId="0" xr:uid="{65CC6C18-0DDB-4B69-97E7-CB725CE0D2D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월에서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이월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H8" authorId="0" shapeId="0" xr:uid="{80B844C2-6589-47C5-B9D3-6AF7A5ACBEB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18000-&gt;20000</t>
        </r>
      </text>
    </comment>
    <comment ref="H9" authorId="0" shapeId="0" xr:uid="{71978DF4-3B98-47B2-A8B4-AAD32CA7E6A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10000-&gt;15000</t>
        </r>
      </text>
    </comment>
    <comment ref="J9" authorId="0" shapeId="0" xr:uid="{52B583CD-73F4-4149-B6DA-6007ADFA620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예산변경
</t>
        </r>
        <r>
          <rPr>
            <sz val="9"/>
            <color indexed="81"/>
            <rFont val="Tahoma"/>
            <family val="2"/>
          </rPr>
          <t>10000-&gt;15000</t>
        </r>
      </text>
    </comment>
    <comment ref="H10" authorId="0" shapeId="0" xr:uid="{9261E2B5-2D05-48F8-A99F-53B82514599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15000-&gt;8000</t>
        </r>
      </text>
    </comment>
    <comment ref="J10" authorId="0" shapeId="0" xr:uid="{66020470-91A8-4D8F-B19B-4B16DD3C7F0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예산변경
</t>
        </r>
        <r>
          <rPr>
            <sz val="9"/>
            <color indexed="81"/>
            <rFont val="Tahoma"/>
            <family val="2"/>
          </rPr>
          <t>15000-&gt;10000</t>
        </r>
      </text>
    </comment>
    <comment ref="J11" authorId="0" shapeId="0" xr:uid="{D38ABFB0-DACC-4C4C-B9C1-6F12688B784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단가상승으로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10000-&gt;8890</t>
        </r>
      </text>
    </comment>
    <comment ref="J13" authorId="0" shapeId="0" xr:uid="{EEAE522A-7ABC-4563-9D6B-3BB0DC4A0CC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이모티콘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증액
</t>
        </r>
        <r>
          <rPr>
            <sz val="9"/>
            <color indexed="81"/>
            <rFont val="Tahoma"/>
            <family val="2"/>
          </rPr>
          <t xml:space="preserve">5000-&gt;8000
</t>
        </r>
      </text>
    </comment>
    <comment ref="I14" authorId="0" shapeId="0" xr:uid="{2F00E38A-FF7C-4F9B-B9A3-4E335701986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집행
</t>
        </r>
        <r>
          <rPr>
            <sz val="9"/>
            <color indexed="81"/>
            <rFont val="Tahoma"/>
            <family val="2"/>
          </rPr>
          <t>5,000-&gt;5,400</t>
        </r>
      </text>
    </comment>
    <comment ref="I15" authorId="0" shapeId="0" xr:uid="{447F839E-718C-41E7-B71A-5A06FDC0DEC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단가상승으로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(3,000)</t>
        </r>
      </text>
    </comment>
    <comment ref="J15" authorId="0" shapeId="0" xr:uid="{B3F4EB0F-8E2E-40BC-9429-0B478B4413D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단가상승으로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(3,000)</t>
        </r>
      </text>
    </comment>
    <comment ref="J16" authorId="0" shapeId="0" xr:uid="{DDCACA2C-E89F-4CF5-B83F-076950C33A2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단가상승으로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(3,000)</t>
        </r>
      </text>
    </comment>
    <comment ref="I18" authorId="0" shapeId="0" xr:uid="{B12D2A67-0C18-43EE-B91E-00FE6E71A02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상승
</t>
        </r>
        <r>
          <rPr>
            <sz val="9"/>
            <color indexed="81"/>
            <rFont val="Tahoma"/>
            <family val="2"/>
          </rPr>
          <t>7900-&gt;10500</t>
        </r>
      </text>
    </comment>
    <comment ref="J18" authorId="0" shapeId="0" xr:uid="{7A4BD1E5-9D42-4911-84EC-437EF24ED5A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상승
</t>
        </r>
        <r>
          <rPr>
            <sz val="9"/>
            <color indexed="81"/>
            <rFont val="Tahoma"/>
            <family val="2"/>
          </rPr>
          <t>8160-&gt;10850</t>
        </r>
      </text>
    </comment>
    <comment ref="J19" authorId="0" shapeId="0" xr:uid="{DBAD624A-B4A2-4EBA-87E3-59B77D32B05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상승
</t>
        </r>
        <r>
          <rPr>
            <sz val="9"/>
            <color indexed="81"/>
            <rFont val="Tahoma"/>
            <family val="2"/>
          </rPr>
          <t>510-&gt;1030</t>
        </r>
      </text>
    </comment>
    <comment ref="K19" authorId="0" shapeId="0" xr:uid="{13D71ED4-FECB-4E73-B4CF-24311B90A5B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상승
</t>
        </r>
        <r>
          <rPr>
            <sz val="9"/>
            <color indexed="81"/>
            <rFont val="Tahoma"/>
            <family val="2"/>
          </rPr>
          <t>500-&gt;1000</t>
        </r>
      </text>
    </comment>
    <comment ref="K20" authorId="0" shapeId="0" xr:uid="{BA12F718-558E-4A69-B4E8-D1394660047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상승
</t>
        </r>
        <r>
          <rPr>
            <sz val="9"/>
            <color indexed="81"/>
            <rFont val="Tahoma"/>
            <family val="2"/>
          </rPr>
          <t>3600-&gt;6000</t>
        </r>
      </text>
    </comment>
    <comment ref="J42" authorId="0" shapeId="0" xr:uid="{BF263DE8-7102-4B17-93D5-C1C6A7A3C6B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5883-&gt;2824</t>
        </r>
      </text>
    </comment>
    <comment ref="K47" authorId="0" shapeId="0" xr:uid="{908BF830-9C04-4F7C-8CEA-ADD308249EB5}">
      <text>
        <r>
          <rPr>
            <b/>
            <sz val="9"/>
            <color indexed="81"/>
            <rFont val="Tahoma"/>
            <family val="2"/>
          </rPr>
          <t>1079-&gt;634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H8" authorId="0" shapeId="0" xr:uid="{3E4910C0-F3F6-459B-8875-516D5B56D9F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18000-&gt;20000</t>
        </r>
      </text>
    </comment>
    <comment ref="H9" authorId="0" shapeId="0" xr:uid="{4755391E-CD84-469D-88E3-BFDE89CDDA9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10000-&gt;15000</t>
        </r>
      </text>
    </comment>
    <comment ref="J9" authorId="0" shapeId="0" xr:uid="{40F67287-0EAA-43BB-8EF1-2E3999B4C04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예산변경
</t>
        </r>
        <r>
          <rPr>
            <sz val="9"/>
            <color indexed="81"/>
            <rFont val="Tahoma"/>
            <family val="2"/>
          </rPr>
          <t>10000-&gt;15000</t>
        </r>
      </text>
    </comment>
    <comment ref="H10" authorId="0" shapeId="0" xr:uid="{D1A0D806-0A1C-4A36-9871-6E8FB55733E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15000-&gt;8000</t>
        </r>
      </text>
    </comment>
    <comment ref="J10" authorId="0" shapeId="0" xr:uid="{3FA9BFDB-FA8D-48DF-ACC1-D31405C1457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예산변경
</t>
        </r>
        <r>
          <rPr>
            <sz val="9"/>
            <color indexed="81"/>
            <rFont val="Tahoma"/>
            <family val="2"/>
          </rPr>
          <t>15000-&gt;10000</t>
        </r>
      </text>
    </comment>
    <comment ref="J11" authorId="0" shapeId="0" xr:uid="{1DEC5002-3833-4417-ADAD-833232FCB3C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단가상승으로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10000-&gt;8890</t>
        </r>
      </text>
    </comment>
    <comment ref="J13" authorId="0" shapeId="0" xr:uid="{7CB8CB8E-9393-45D2-9695-D43ECC734CC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이모티콘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증액
</t>
        </r>
        <r>
          <rPr>
            <sz val="9"/>
            <color indexed="81"/>
            <rFont val="Tahoma"/>
            <family val="2"/>
          </rPr>
          <t xml:space="preserve">5000-&gt;8000
</t>
        </r>
      </text>
    </comment>
    <comment ref="I14" authorId="0" shapeId="0" xr:uid="{F6B68DEB-A388-45FA-9B30-5AF95D07880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집행
</t>
        </r>
        <r>
          <rPr>
            <sz val="9"/>
            <color indexed="81"/>
            <rFont val="Tahoma"/>
            <family val="2"/>
          </rPr>
          <t>5,000-&gt;5,400</t>
        </r>
      </text>
    </comment>
    <comment ref="I15" authorId="0" shapeId="0" xr:uid="{A0E5DCE3-D7A9-4BA6-A481-27A1F469DF5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단가상승으로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(3,000)</t>
        </r>
      </text>
    </comment>
    <comment ref="J15" authorId="0" shapeId="0" xr:uid="{179E4018-95EF-44D7-AA61-77B00842BA6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단가상승으로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(3,000)</t>
        </r>
      </text>
    </comment>
    <comment ref="J16" authorId="0" shapeId="0" xr:uid="{D40E4081-8343-4532-979A-0B83943B73C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단가상승으로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(3,000)</t>
        </r>
      </text>
    </comment>
    <comment ref="I18" authorId="0" shapeId="0" xr:uid="{B5C56C1D-032D-4DD7-A311-EE04F626F22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상승
</t>
        </r>
        <r>
          <rPr>
            <sz val="9"/>
            <color indexed="81"/>
            <rFont val="Tahoma"/>
            <family val="2"/>
          </rPr>
          <t>7900-&gt;10500</t>
        </r>
      </text>
    </comment>
    <comment ref="J18" authorId="0" shapeId="0" xr:uid="{0547061A-BF53-4527-8016-AB8293BD756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상승
</t>
        </r>
        <r>
          <rPr>
            <sz val="9"/>
            <color indexed="81"/>
            <rFont val="Tahoma"/>
            <family val="2"/>
          </rPr>
          <t>8160-&gt;10850</t>
        </r>
      </text>
    </comment>
    <comment ref="J19" authorId="0" shapeId="0" xr:uid="{D67957C8-658F-4E53-B714-23CDD615E05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상승
</t>
        </r>
        <r>
          <rPr>
            <sz val="9"/>
            <color indexed="81"/>
            <rFont val="Tahoma"/>
            <family val="2"/>
          </rPr>
          <t>510-&gt;1030</t>
        </r>
      </text>
    </comment>
    <comment ref="K19" authorId="0" shapeId="0" xr:uid="{85FB37EC-52AE-4754-AFAE-17225F62A01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상승
</t>
        </r>
        <r>
          <rPr>
            <sz val="9"/>
            <color indexed="81"/>
            <rFont val="Tahoma"/>
            <family val="2"/>
          </rPr>
          <t>500-&gt;1000</t>
        </r>
      </text>
    </comment>
    <comment ref="K20" authorId="0" shapeId="0" xr:uid="{43342500-6085-4B47-9584-FFCE99FB1F4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상승
</t>
        </r>
        <r>
          <rPr>
            <sz val="9"/>
            <color indexed="81"/>
            <rFont val="Tahoma"/>
            <family val="2"/>
          </rPr>
          <t>3600-&gt;6000</t>
        </r>
      </text>
    </comment>
    <comment ref="J42" authorId="0" shapeId="0" xr:uid="{A069D72D-2967-46C8-8BBE-B3BDB2753D5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5883-&gt;2824</t>
        </r>
      </text>
    </comment>
    <comment ref="K47" authorId="0" shapeId="0" xr:uid="{B313C8E5-B61A-4547-AA89-36C8E8B8A4BC}">
      <text>
        <r>
          <rPr>
            <b/>
            <sz val="9"/>
            <color indexed="81"/>
            <rFont val="Tahoma"/>
            <family val="2"/>
          </rPr>
          <t>1079-&gt;634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H5" authorId="0" shapeId="0" xr:uid="{465FC1AC-3FC6-4EE5-971C-A630829968E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400000-&gt;470000</t>
        </r>
      </text>
    </comment>
    <comment ref="I5" authorId="0" shapeId="0" xr:uid="{2E0E91D7-479D-4A18-9976-F440E6D0CAA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400000-&gt;450000</t>
        </r>
      </text>
    </comment>
    <comment ref="J5" authorId="0" shapeId="0" xr:uid="{4E057520-4BAF-4FF9-B68A-02245549801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150000-&gt;50000</t>
        </r>
      </text>
    </comment>
    <comment ref="M5" authorId="0" shapeId="0" xr:uid="{60E54BCF-5D33-428B-ADE5-4153EFE057E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</text>
    </comment>
    <comment ref="N5" authorId="0" shapeId="0" xr:uid="{41347BBE-B204-4BEB-A1A1-5AD57C83C80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150000-&gt;80000</t>
        </r>
      </text>
    </comment>
    <comment ref="H6" authorId="0" shapeId="0" xr:uid="{138BD900-A5C0-4EBA-BF2B-10A9EFBBB4A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400000-&gt;330000</t>
        </r>
      </text>
    </comment>
    <comment ref="I6" authorId="0" shapeId="0" xr:uid="{C60E9BF0-5526-4A14-8BAA-FF9FC182F2F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400000-&gt;350000</t>
        </r>
      </text>
    </comment>
    <comment ref="J6" authorId="0" shapeId="0" xr:uid="{210FB347-C9A3-4209-B071-D501EE46480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150000-&gt;250000</t>
        </r>
      </text>
    </comment>
    <comment ref="M6" authorId="0" shapeId="0" xr:uid="{67EAB610-944D-472A-8B12-EA33F098B1C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200000-&gt;150000</t>
        </r>
      </text>
    </comment>
    <comment ref="N6" authorId="0" shapeId="0" xr:uid="{1F07D152-7A23-4BAD-BB7C-A1C214017C2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200000-&gt;220000</t>
        </r>
      </text>
    </comment>
    <comment ref="H36" authorId="0" shapeId="0" xr:uid="{A9DB22C1-355A-4135-9B97-088CC81E154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19295-&gt;17648</t>
        </r>
      </text>
    </comment>
    <comment ref="H45" authorId="0" shapeId="0" xr:uid="{4048C6A5-4E27-4680-A33A-6D5AF581BFB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</text>
    </comment>
    <comment ref="H47" authorId="0" shapeId="0" xr:uid="{E001A7EB-1072-4A33-9F17-73D05AA1DEC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470 </t>
        </r>
        <r>
          <rPr>
            <sz val="9"/>
            <color indexed="81"/>
            <rFont val="돋움"/>
            <family val="3"/>
            <charset val="129"/>
          </rPr>
          <t>이관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사이트</t>
        </r>
        <r>
          <rPr>
            <sz val="9"/>
            <color indexed="81"/>
            <rFont val="Tahoma"/>
            <family val="2"/>
          </rPr>
          <t>)</t>
        </r>
      </text>
    </comment>
    <comment ref="H50" authorId="0" shapeId="0" xr:uid="{F53D0ED8-6761-453E-8A7B-5211FDA2B4B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6900-&gt;6420</t>
        </r>
      </text>
    </comment>
    <comment ref="H60" authorId="0" shapeId="0" xr:uid="{0BAC0924-F298-4A01-B69F-43F9C73F3B2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16400-&gt;15000</t>
        </r>
      </text>
    </comment>
    <comment ref="H69" authorId="0" shapeId="0" xr:uid="{482DC398-4C9A-4AF2-90D0-B731A12E3AD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</text>
    </comment>
    <comment ref="H71" authorId="0" shapeId="0" xr:uid="{B8AFC38D-49B1-4657-B756-FFE55034541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400 </t>
        </r>
        <r>
          <rPr>
            <sz val="9"/>
            <color indexed="81"/>
            <rFont val="돋움"/>
            <family val="3"/>
            <charset val="129"/>
          </rPr>
          <t>이관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사이트</t>
        </r>
        <r>
          <rPr>
            <sz val="9"/>
            <color indexed="81"/>
            <rFont val="Tahoma"/>
            <family val="2"/>
          </rPr>
          <t>)</t>
        </r>
      </text>
    </comment>
    <comment ref="H74" authorId="0" shapeId="0" xr:uid="{11DEB675-10B9-4EBE-A78B-E7ED628B2EF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6900-&gt;6540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  <author>hana</author>
  </authors>
  <commentList>
    <comment ref="H24" authorId="0" shapeId="0" xr:uid="{419CAC7A-00D0-40FE-BC2A-7E279FEEB65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30000-&gt;27800</t>
        </r>
      </text>
    </comment>
    <comment ref="I24" authorId="0" shapeId="0" xr:uid="{C93D2C64-111D-495F-B6B9-E9602303D83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30000-&gt;30800</t>
        </r>
      </text>
    </comment>
    <comment ref="J24" authorId="0" shapeId="0" xr:uid="{DC4BD097-A7D2-4963-B05B-6DB966E8BA9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30000-&gt;30800</t>
        </r>
      </text>
    </comment>
    <comment ref="M24" authorId="0" shapeId="0" xr:uid="{5A06A3F9-FEDA-49EA-94C9-06D0E7191C4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30000-&gt;32750</t>
        </r>
      </text>
    </comment>
    <comment ref="N24" authorId="0" shapeId="0" xr:uid="{44E6052D-6FE0-4EDF-8385-1EC1A4AEE41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30000-&gt;32750</t>
        </r>
      </text>
    </comment>
    <comment ref="H27" authorId="0" shapeId="0" xr:uid="{0E988B4D-8FFE-432C-B96F-52B5291EEC8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48000 </t>
        </r>
        <r>
          <rPr>
            <sz val="9"/>
            <color indexed="81"/>
            <rFont val="돋움"/>
            <family val="3"/>
            <charset val="129"/>
          </rPr>
          <t>이월</t>
        </r>
      </text>
    </comment>
    <comment ref="I27" authorId="0" shapeId="0" xr:uid="{641C7F4B-26BB-49FA-BBB4-072C8072B2A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48000-&gt;91100</t>
        </r>
      </text>
    </comment>
    <comment ref="H36" authorId="0" shapeId="0" xr:uid="{7115E908-73B8-40DF-9A10-11C0ABBD8E9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23530-&gt;19295</t>
        </r>
      </text>
    </comment>
    <comment ref="G38" authorId="0" shapeId="0" xr:uid="{D39F01A8-B835-46A6-A848-8AFE037CE85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23,530-&gt;16,600</t>
        </r>
      </text>
    </comment>
    <comment ref="N38" authorId="0" shapeId="0" xr:uid="{0F0A1B78-4B60-4074-A024-F8A53E33865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바이럴예산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추석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바이럴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확보</t>
        </r>
        <r>
          <rPr>
            <sz val="9"/>
            <color indexed="81"/>
            <rFont val="Tahoma"/>
            <family val="2"/>
          </rPr>
          <t>)</t>
        </r>
      </text>
    </comment>
    <comment ref="G42" authorId="0" shapeId="0" xr:uid="{94B9EC91-B53A-475F-9924-0EC569C985D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5883-&gt;1824</t>
        </r>
      </text>
    </comment>
    <comment ref="G43" authorId="0" shapeId="0" xr:uid="{C1DB8D9B-82F3-40D5-9B0D-C4681B70DF0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48237 3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
총액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증액</t>
        </r>
      </text>
    </comment>
    <comment ref="H43" authorId="0" shapeId="0" xr:uid="{A9FDD16F-AD35-4E82-B886-B9DACC403D0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월에서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</text>
    </comment>
    <comment ref="G45" authorId="1" shapeId="0" xr:uid="{D686A5C0-A250-4AE6-8CDB-A536A1995A6A}">
      <text>
        <r>
          <rPr>
            <sz val="9"/>
            <color indexed="81"/>
            <rFont val="돋움"/>
            <family val="3"/>
            <charset val="129"/>
          </rPr>
          <t>1444-&gt;1172</t>
        </r>
      </text>
    </comment>
    <comment ref="H45" authorId="0" shapeId="0" xr:uid="{271F451B-9429-4E33-A788-EB845D1EDBB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200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7" authorId="0" shapeId="0" xr:uid="{8D0B6C56-4E34-425B-B761-EE2DF278C4C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5883-&gt;2118</t>
        </r>
      </text>
    </comment>
    <comment ref="H48" authorId="0" shapeId="0" xr:uid="{1ACF1FAA-9421-41F6-8B11-D42B64882B1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8600-&gt;5360</t>
        </r>
      </text>
    </comment>
    <comment ref="I48" authorId="0" shapeId="0" xr:uid="{4D7C20CE-EB71-4AD3-96E6-7EF88F34A24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버스출력비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추가
</t>
        </r>
        <r>
          <rPr>
            <sz val="9"/>
            <color indexed="81"/>
            <rFont val="Tahoma"/>
            <family val="2"/>
          </rPr>
          <t>8400</t>
        </r>
      </text>
    </comment>
    <comment ref="H50" authorId="0" shapeId="0" xr:uid="{B01B4BC4-C610-485E-9A47-A9B7C799812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6000-&gt;6900</t>
        </r>
      </text>
    </comment>
    <comment ref="G51" authorId="0" shapeId="0" xr:uid="{72224F08-E168-44B5-B22F-473784EC050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154-&gt;360
</t>
        </r>
      </text>
    </comment>
    <comment ref="H60" authorId="0" shapeId="0" xr:uid="{3D5554D7-5D0E-470C-80E7-D9546D8D953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20000-&gt;16400</t>
        </r>
      </text>
    </comment>
    <comment ref="G62" authorId="0" shapeId="0" xr:uid="{6BCBE0E4-C61C-455B-B907-6F40CC47C58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20000-&gt;14110</t>
        </r>
      </text>
    </comment>
    <comment ref="N62" authorId="0" shapeId="0" xr:uid="{88F45B32-23F5-4310-8EA1-64401AE2EC6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바이럴예산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추석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바이럴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확보</t>
        </r>
        <r>
          <rPr>
            <sz val="9"/>
            <color indexed="81"/>
            <rFont val="Tahoma"/>
            <family val="2"/>
          </rPr>
          <t>)</t>
        </r>
      </text>
    </comment>
    <comment ref="G66" authorId="0" shapeId="0" xr:uid="{4150C335-FAEC-4B00-9CF0-E9989FC4F58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5000-&gt;1550</t>
        </r>
      </text>
    </comment>
    <comment ref="G67" authorId="0" shapeId="0" xr:uid="{605F252F-CD46-4EF4-80A2-5FC7A655AC6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4100 3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</text>
    </comment>
    <comment ref="G69" authorId="1" shapeId="0" xr:uid="{00DFCA75-F367-4C0E-8403-84580B78DB20}">
      <text>
        <r>
          <rPr>
            <sz val="9"/>
            <color indexed="81"/>
            <rFont val="돋움"/>
            <family val="3"/>
            <charset val="129"/>
          </rPr>
          <t>1444-&gt;1172</t>
        </r>
      </text>
    </comment>
    <comment ref="H69" authorId="0" shapeId="0" xr:uid="{26CD1C75-1699-4E04-80E3-F93D2496572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200 </t>
        </r>
        <r>
          <rPr>
            <sz val="9"/>
            <color indexed="81"/>
            <rFont val="돋움"/>
            <family val="3"/>
            <charset val="129"/>
          </rPr>
          <t>삭제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1" authorId="0" shapeId="0" xr:uid="{08D7D54B-0566-4903-8C33-2CDA1DC1248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5000-&gt;1800</t>
        </r>
      </text>
    </comment>
    <comment ref="H72" authorId="0" shapeId="0" xr:uid="{E0F0121E-AB69-421F-860C-AA885BA8AE5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8600-&gt;5360</t>
        </r>
      </text>
    </comment>
    <comment ref="I72" authorId="0" shapeId="0" xr:uid="{005EC349-4640-4524-A8BC-DAE5D8FD4C7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버스출력비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추가
</t>
        </r>
        <r>
          <rPr>
            <sz val="9"/>
            <color indexed="81"/>
            <rFont val="Tahoma"/>
            <family val="2"/>
          </rPr>
          <t>8400</t>
        </r>
      </text>
    </comment>
    <comment ref="H74" authorId="0" shapeId="0" xr:uid="{76257CA4-B9E8-4A77-B0AD-C1B76260268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6000-&gt;6900</t>
        </r>
      </text>
    </comment>
    <comment ref="G75" authorId="0" shapeId="0" xr:uid="{0FB3E14C-0F54-44CF-BAAD-4B2048D8C67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154-&gt;360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hana</author>
  </authors>
  <commentList>
    <comment ref="G69" authorId="0" shapeId="0" xr:uid="{00DFCA75-F367-4C0E-8403-84580B78DB20}">
      <text>
        <r>
          <rPr>
            <sz val="9"/>
            <color indexed="81"/>
            <rFont val="돋움"/>
            <family val="3"/>
            <charset val="129"/>
          </rPr>
          <t>앱스토어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</t>
        </r>
        <r>
          <rPr>
            <sz val="9"/>
            <color indexed="81"/>
            <rFont val="Tahoma"/>
            <family val="2"/>
          </rPr>
          <t xml:space="preserve"> 129,000</t>
        </r>
        <r>
          <rPr>
            <sz val="9"/>
            <color indexed="81"/>
            <rFont val="돋움"/>
            <family val="3"/>
            <charset val="129"/>
          </rPr>
          <t>원
가비아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클라우드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83,600
SSL </t>
        </r>
        <r>
          <rPr>
            <sz val="9"/>
            <color indexed="81"/>
            <rFont val="돋움"/>
            <family val="3"/>
            <charset val="129"/>
          </rPr>
          <t>인증서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</t>
        </r>
        <r>
          <rPr>
            <sz val="9"/>
            <color indexed="81"/>
            <rFont val="Tahoma"/>
            <family val="2"/>
          </rPr>
          <t xml:space="preserve"> 80,000
</t>
        </r>
        <r>
          <rPr>
            <sz val="9"/>
            <color indexed="81"/>
            <rFont val="돋움"/>
            <family val="3"/>
            <charset val="129"/>
          </rPr>
          <t>호스팅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</t>
        </r>
        <r>
          <rPr>
            <sz val="9"/>
            <color indexed="81"/>
            <rFont val="Tahoma"/>
            <family val="2"/>
          </rPr>
          <t xml:space="preserve"> 22</t>
        </r>
        <r>
          <rPr>
            <sz val="9"/>
            <color indexed="81"/>
            <rFont val="돋움"/>
            <family val="3"/>
            <charset val="129"/>
          </rPr>
          <t>만원
도메인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</t>
        </r>
        <r>
          <rPr>
            <sz val="9"/>
            <color indexed="81"/>
            <rFont val="Tahoma"/>
            <family val="2"/>
          </rPr>
          <t xml:space="preserve"> 11,440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N21" authorId="0" shapeId="0" xr:uid="{A07A0F66-EA9D-4216-B6BF-F23EDA25E7E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94670-&gt;91770</t>
        </r>
      </text>
    </comment>
    <comment ref="O21" authorId="0" shapeId="0" xr:uid="{56EF5D9F-7471-44B5-8FC3-1CF363FD0C2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4100-&gt;7000</t>
        </r>
      </text>
    </comment>
    <comment ref="N22" authorId="0" shapeId="0" xr:uid="{E7AE2CB5-7E44-45F7-AE5F-8490F3FC72A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5882-&gt;4804</t>
        </r>
      </text>
    </comment>
    <comment ref="O22" authorId="0" shapeId="0" xr:uid="{656F4104-8BF8-4E5C-9980-0E9A2B4C3A3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N21" authorId="0" shapeId="0" xr:uid="{18A781D2-51ED-4D8A-B6DE-7B42A84714A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94670-&gt;91770</t>
        </r>
      </text>
    </comment>
    <comment ref="O21" authorId="0" shapeId="0" xr:uid="{D9876641-2138-4BB0-B31D-601C3169942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월예산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4100-&gt;7000</t>
        </r>
      </text>
    </comment>
    <comment ref="N22" authorId="0" shapeId="0" xr:uid="{FA2CC00C-6C67-47B3-A0F1-30C57B616F9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5882-&gt;4804</t>
        </r>
      </text>
    </comment>
    <comment ref="O22" authorId="0" shapeId="0" xr:uid="{B7D2E4A8-CD44-47B0-9687-56B66A94C60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L17" authorId="0" shapeId="0" xr:uid="{3505B985-128C-4522-86FC-E749C9D5987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400000-&gt;330000
</t>
        </r>
      </text>
    </comment>
    <comment ref="M17" authorId="0" shapeId="0" xr:uid="{5FFBDBCC-5514-4E05-A7B1-78C895A8680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400000-&gt;350000
</t>
        </r>
      </text>
    </comment>
    <comment ref="N17" authorId="0" shapeId="0" xr:uid="{F5EF6199-9D42-40F7-8813-DE4E45A3F8F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150000-&gt;250000</t>
        </r>
      </text>
    </comment>
    <comment ref="Q17" authorId="0" shapeId="0" xr:uid="{80FFAAA4-135C-43F4-8608-9AF1A60A0C7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200000-&gt;150000</t>
        </r>
      </text>
    </comment>
    <comment ref="R17" authorId="0" shapeId="0" xr:uid="{F77670BB-03FE-46E8-AF19-14AEDD9378C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150000-&gt;220000</t>
        </r>
      </text>
    </comment>
    <comment ref="L24" authorId="0" shapeId="0" xr:uid="{6C7FCE31-0E35-4EE5-8FB8-DA0EEE49CD0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400000-&gt;470000
</t>
        </r>
      </text>
    </comment>
    <comment ref="M24" authorId="0" shapeId="0" xr:uid="{5AE154D1-6F91-4B79-B360-03DFFF9174D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400000-&gt;450000</t>
        </r>
      </text>
    </comment>
    <comment ref="N24" authorId="0" shapeId="0" xr:uid="{66EB7643-71BC-4BCE-A62C-5D864867BD1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150000-&gt;50000</t>
        </r>
      </text>
    </comment>
    <comment ref="Q24" authorId="0" shapeId="0" xr:uid="{96106E09-203F-474E-A040-C6522A6D618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50000</t>
        </r>
      </text>
    </comment>
    <comment ref="R24" authorId="0" shapeId="0" xr:uid="{98CE78D7-C42A-4918-AF47-0020B5DF060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150000-&gt;80000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K22" authorId="0" shapeId="0" xr:uid="{73233C18-808F-40D5-A58B-C808E335D9F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85130-&gt;22074</t>
        </r>
      </text>
    </comment>
    <comment ref="L22" authorId="0" shapeId="0" xr:uid="{E33707DD-FFEC-48F4-B130-BA69E6F0A8F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38800-&gt;87320</t>
        </r>
      </text>
    </comment>
    <comment ref="M22" authorId="0" shapeId="0" xr:uid="{FE5EECAF-50D6-4107-AC0D-FDFBCA43494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8400 </t>
        </r>
        <r>
          <rPr>
            <sz val="9"/>
            <color indexed="81"/>
            <rFont val="돋움"/>
            <family val="3"/>
            <charset val="129"/>
          </rPr>
          <t xml:space="preserve">옥외출력비발생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버스외부광고</t>
        </r>
        <r>
          <rPr>
            <sz val="9"/>
            <color indexed="81"/>
            <rFont val="Tahoma"/>
            <family val="2"/>
          </rPr>
          <t>)</t>
        </r>
      </text>
    </comment>
    <comment ref="R22" authorId="0" shapeId="0" xr:uid="{BE8D513D-62FE-4F2F-B383-6BA57CA8FEB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9412-&gt;15548
</t>
        </r>
      </text>
    </comment>
    <comment ref="L23" authorId="0" shapeId="0" xr:uid="{2B47149B-C607-49D4-9177-369416DFCBD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185600-&gt;135400
</t>
        </r>
        <r>
          <rPr>
            <sz val="9"/>
            <color indexed="81"/>
            <rFont val="돋움"/>
            <family val="3"/>
            <charset val="129"/>
          </rPr>
          <t>버스외부광고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온에어로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>3-4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)</t>
        </r>
      </text>
    </comment>
    <comment ref="M23" authorId="0" shapeId="0" xr:uid="{770B5695-F760-403B-BFB1-6D749A7BCE8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100600-&gt;144500</t>
        </r>
      </text>
    </comment>
    <comment ref="N23" authorId="0" shapeId="0" xr:uid="{3983D230-E919-4674-AE48-E0BD2110C42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52600-&gt;53400</t>
        </r>
      </text>
    </comment>
    <comment ref="Q23" authorId="0" shapeId="0" xr:uid="{82F98C31-994B-4450-87FD-8AF9494F003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52600-&gt;55350
</t>
        </r>
      </text>
    </comment>
    <comment ref="R23" authorId="0" shapeId="0" xr:uid="{C7A898DA-03D0-4FCA-B696-A23E659DB2F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52600-&gt;55350
</t>
        </r>
      </text>
    </comment>
  </commentList>
</comments>
</file>

<file path=xl/sharedStrings.xml><?xml version="1.0" encoding="utf-8"?>
<sst xmlns="http://schemas.openxmlformats.org/spreadsheetml/2006/main" count="1848" uniqueCount="151">
  <si>
    <t>(단위:천원)</t>
    <phoneticPr fontId="3" type="noConversion"/>
  </si>
  <si>
    <t>매체</t>
    <phoneticPr fontId="3" type="noConversion"/>
  </si>
  <si>
    <t>채널</t>
    <phoneticPr fontId="3" type="noConversion"/>
  </si>
  <si>
    <t>21년1월</t>
    <phoneticPr fontId="3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</si>
  <si>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</si>
  <si>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</si>
  <si>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</si>
  <si>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</si>
  <si>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</si>
  <si>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</si>
  <si>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</si>
  <si>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</si>
  <si>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</si>
  <si>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</si>
  <si>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</si>
  <si>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TOTAL</t>
  </si>
  <si>
    <t>주요 이슈</t>
    <phoneticPr fontId="3" type="noConversion"/>
  </si>
  <si>
    <t>가정의달</t>
    <phoneticPr fontId="3" type="noConversion"/>
  </si>
  <si>
    <t>여름휴가</t>
    <phoneticPr fontId="3" type="noConversion"/>
  </si>
  <si>
    <t>TV</t>
    <phoneticPr fontId="3" type="noConversion"/>
  </si>
  <si>
    <t>브랜딩</t>
    <phoneticPr fontId="3" type="noConversion"/>
  </si>
  <si>
    <t>지상파</t>
    <phoneticPr fontId="3" type="noConversion"/>
  </si>
  <si>
    <t>SBS</t>
    <phoneticPr fontId="3" type="noConversion"/>
  </si>
  <si>
    <t>케이블</t>
  </si>
  <si>
    <t>JTBC, tvN외</t>
  </si>
  <si>
    <t>TV 소계</t>
    <phoneticPr fontId="3" type="noConversion"/>
  </si>
  <si>
    <t>온라인</t>
    <phoneticPr fontId="3" type="noConversion"/>
  </si>
  <si>
    <t>Top Funnel</t>
    <phoneticPr fontId="3" type="noConversion"/>
  </si>
  <si>
    <t>DV360 YouTube</t>
    <phoneticPr fontId="3" type="noConversion"/>
  </si>
  <si>
    <t>TrueView Instream</t>
    <phoneticPr fontId="3" type="noConversion"/>
  </si>
  <si>
    <t>Bumper ad(TV only)</t>
    <phoneticPr fontId="3" type="noConversion"/>
  </si>
  <si>
    <t>SMR</t>
    <phoneticPr fontId="3" type="noConversion"/>
  </si>
  <si>
    <t>Clip pre-roll</t>
    <phoneticPr fontId="3" type="noConversion"/>
  </si>
  <si>
    <t>Mid Funnel</t>
    <phoneticPr fontId="3" type="noConversion"/>
  </si>
  <si>
    <t>네이버</t>
    <phoneticPr fontId="3" type="noConversion"/>
  </si>
  <si>
    <t>GFA(메인&amp;서브)</t>
    <phoneticPr fontId="3" type="noConversion"/>
  </si>
  <si>
    <t>카카오</t>
    <phoneticPr fontId="3" type="noConversion"/>
  </si>
  <si>
    <t>디시인사이드</t>
    <phoneticPr fontId="3" type="noConversion"/>
  </si>
  <si>
    <t>리스트상단 + 본문자동</t>
    <phoneticPr fontId="3" type="noConversion"/>
  </si>
  <si>
    <t>블라인드</t>
    <phoneticPr fontId="3" type="noConversion"/>
  </si>
  <si>
    <t>Low Funnel</t>
    <phoneticPr fontId="3" type="noConversion"/>
  </si>
  <si>
    <t>브랜드검색 PC 라이트형 일반</t>
    <phoneticPr fontId="3" type="noConversion"/>
  </si>
  <si>
    <t>온라인 소계</t>
    <phoneticPr fontId="3" type="noConversion"/>
  </si>
  <si>
    <t>라디오</t>
    <phoneticPr fontId="3" type="noConversion"/>
  </si>
  <si>
    <t>SBS-파워FM</t>
    <phoneticPr fontId="3" type="noConversion"/>
  </si>
  <si>
    <t>라디오 소계</t>
    <phoneticPr fontId="3" type="noConversion"/>
  </si>
  <si>
    <t>옥외</t>
    <phoneticPr fontId="3" type="noConversion"/>
  </si>
  <si>
    <t>대중교통</t>
    <phoneticPr fontId="3" type="noConversion"/>
  </si>
  <si>
    <t>타겟</t>
    <phoneticPr fontId="3" type="noConversion"/>
  </si>
  <si>
    <t>옥외 소계</t>
    <phoneticPr fontId="3" type="noConversion"/>
  </si>
  <si>
    <t>신문</t>
    <phoneticPr fontId="3" type="noConversion"/>
  </si>
  <si>
    <t>종합/경제</t>
    <phoneticPr fontId="3" type="noConversion"/>
  </si>
  <si>
    <t>조선일보 외 4개사</t>
    <phoneticPr fontId="3" type="noConversion"/>
  </si>
  <si>
    <t>신문 소계</t>
    <phoneticPr fontId="3" type="noConversion"/>
  </si>
  <si>
    <t>매체 TOTAL</t>
    <phoneticPr fontId="3" type="noConversion"/>
  </si>
  <si>
    <t>제작</t>
    <phoneticPr fontId="3" type="noConversion"/>
  </si>
  <si>
    <t>모델</t>
    <phoneticPr fontId="3" type="noConversion"/>
  </si>
  <si>
    <t>모델료</t>
    <phoneticPr fontId="3" type="noConversion"/>
  </si>
  <si>
    <t>모델 수수료</t>
    <phoneticPr fontId="3" type="noConversion"/>
  </si>
  <si>
    <t>TVC 소재 제작 및 지면 촬영</t>
    <phoneticPr fontId="3" type="noConversion"/>
  </si>
  <si>
    <t>바이럴</t>
    <phoneticPr fontId="3" type="noConversion"/>
  </si>
  <si>
    <t>커뮤니티 카페 바이럴</t>
    <phoneticPr fontId="3" type="noConversion"/>
  </si>
  <si>
    <t>앰배서더(인플루언서)</t>
    <phoneticPr fontId="3" type="noConversion"/>
  </si>
  <si>
    <t>블로그</t>
    <phoneticPr fontId="3" type="noConversion"/>
  </si>
  <si>
    <t>벤포벨 공식 블로그 운영</t>
    <phoneticPr fontId="3" type="noConversion"/>
  </si>
  <si>
    <t>소재</t>
    <phoneticPr fontId="3" type="noConversion"/>
  </si>
  <si>
    <t>마이크로사이트 수정 제작</t>
    <phoneticPr fontId="3" type="noConversion"/>
  </si>
  <si>
    <t>온라인 배너 제작</t>
    <phoneticPr fontId="3" type="noConversion"/>
  </si>
  <si>
    <t>서버 유지비</t>
    <phoneticPr fontId="3" type="noConversion"/>
  </si>
  <si>
    <t>벤포벨 사이트 서버비</t>
    <phoneticPr fontId="3" type="noConversion"/>
  </si>
  <si>
    <t xml:space="preserve">제작비(RD/비즈링) </t>
    <phoneticPr fontId="3" type="noConversion"/>
  </si>
  <si>
    <t>옥외/POP</t>
    <phoneticPr fontId="3" type="noConversion"/>
  </si>
  <si>
    <t>기타</t>
    <phoneticPr fontId="3" type="noConversion"/>
  </si>
  <si>
    <t>조사</t>
    <phoneticPr fontId="3" type="noConversion"/>
  </si>
  <si>
    <t xml:space="preserve">시장 및 광고효과조사 </t>
    <phoneticPr fontId="3" type="noConversion"/>
  </si>
  <si>
    <t>심의비</t>
    <phoneticPr fontId="3" type="noConversion"/>
  </si>
  <si>
    <t>방송광고심의</t>
    <phoneticPr fontId="3" type="noConversion"/>
  </si>
  <si>
    <t>배송비(바이럴)</t>
    <phoneticPr fontId="3" type="noConversion"/>
  </si>
  <si>
    <t xml:space="preserve">제작 TOTAL </t>
    <phoneticPr fontId="3" type="noConversion"/>
  </si>
  <si>
    <t>매체 + 제작 합계</t>
    <phoneticPr fontId="3" type="noConversion"/>
  </si>
  <si>
    <t>총   계 (부가세 별도)</t>
    <phoneticPr fontId="3" type="noConversion"/>
  </si>
  <si>
    <t>* 제작비는 17.65%의 대행수수료가 부과됩니다.
* 위 견적은 실제 제작 상황에 따라 변동 가능합니다. 
* 22년 모델비는 단순연장계약으로 모델수수료 미청구 / 23년 모델비는 신규 소재 제작으로 모델수수료 10% 청구</t>
    <phoneticPr fontId="3" type="noConversion"/>
  </si>
  <si>
    <t>*참고 : 제작비 수수료 별도</t>
    <phoneticPr fontId="3" type="noConversion"/>
  </si>
  <si>
    <t>인플루언서(앰배서더)</t>
    <phoneticPr fontId="3" type="noConversion"/>
  </si>
  <si>
    <t xml:space="preserve">대행수수료 </t>
    <phoneticPr fontId="3" type="noConversion"/>
  </si>
  <si>
    <t>제작 + 대행수수료 합계</t>
    <phoneticPr fontId="3" type="noConversion"/>
  </si>
  <si>
    <t>OTC마케팅팀</t>
  </si>
  <si>
    <t xml:space="preserve"> 1. 월별 예산 사용 계획</t>
    <phoneticPr fontId="3" type="noConversion"/>
  </si>
  <si>
    <t>(천원)</t>
    <phoneticPr fontId="3" type="noConversion"/>
  </si>
  <si>
    <t>구  분</t>
    <phoneticPr fontId="3" type="noConversion"/>
  </si>
  <si>
    <t>계</t>
    <phoneticPr fontId="3" type="noConversion"/>
  </si>
  <si>
    <t>1H</t>
    <phoneticPr fontId="3" type="noConversion"/>
  </si>
  <si>
    <t>2H</t>
    <phoneticPr fontId="3" type="noConversion"/>
  </si>
  <si>
    <t>1월</t>
    <phoneticPr fontId="3" type="noConversion"/>
  </si>
  <si>
    <t>2월</t>
    <phoneticPr fontId="3" type="noConversion"/>
  </si>
  <si>
    <t>3월</t>
    <phoneticPr fontId="3" type="noConversion"/>
  </si>
  <si>
    <t>비  고</t>
    <phoneticPr fontId="3" type="noConversion"/>
  </si>
  <si>
    <t>OTC팀 계</t>
    <phoneticPr fontId="3" type="noConversion"/>
  </si>
  <si>
    <t>계획</t>
    <phoneticPr fontId="3" type="noConversion"/>
  </si>
  <si>
    <t>벤포벨</t>
    <phoneticPr fontId="3" type="noConversion"/>
  </si>
  <si>
    <t>계획</t>
  </si>
  <si>
    <t>2. 계정별 예산 사용 계획</t>
    <phoneticPr fontId="3" type="noConversion"/>
  </si>
  <si>
    <t>계정코드</t>
    <phoneticPr fontId="3" type="noConversion"/>
  </si>
  <si>
    <t>계정명</t>
    <phoneticPr fontId="3" type="noConversion"/>
  </si>
  <si>
    <t>CABLE광고비(M)</t>
    <phoneticPr fontId="3" type="noConversion"/>
  </si>
  <si>
    <t>신문 광고비(M)</t>
    <phoneticPr fontId="3" type="noConversion"/>
  </si>
  <si>
    <t>라디오 광고비(M)</t>
    <phoneticPr fontId="3" type="noConversion"/>
  </si>
  <si>
    <t>전문지 광고비(M)</t>
    <phoneticPr fontId="3" type="noConversion"/>
  </si>
  <si>
    <t>인터넷 광고비(M)</t>
    <phoneticPr fontId="3" type="noConversion"/>
  </si>
  <si>
    <t>매체광고제작비(M)</t>
    <phoneticPr fontId="3" type="noConversion"/>
  </si>
  <si>
    <t>옥외광고비(M)</t>
    <phoneticPr fontId="3" type="noConversion"/>
  </si>
  <si>
    <t>지상파광고비(M)</t>
    <phoneticPr fontId="3" type="noConversion"/>
  </si>
  <si>
    <t>소  계</t>
  </si>
  <si>
    <t>총 계</t>
    <phoneticPr fontId="3" type="noConversion"/>
  </si>
  <si>
    <t>◐ 2023년 OTC 브랜드별 홍보 예산 사용계획</t>
    <phoneticPr fontId="3" type="noConversion"/>
  </si>
  <si>
    <t>벤포벨 2023년 예산</t>
    <phoneticPr fontId="3" type="noConversion"/>
  </si>
  <si>
    <t>설날</t>
    <phoneticPr fontId="3" type="noConversion"/>
  </si>
  <si>
    <t>온에어</t>
    <phoneticPr fontId="3" type="noConversion"/>
  </si>
  <si>
    <t>WBC</t>
    <phoneticPr fontId="3" type="noConversion"/>
  </si>
  <si>
    <t>아시안컴</t>
    <phoneticPr fontId="3" type="noConversion"/>
  </si>
  <si>
    <t>추석</t>
    <phoneticPr fontId="3" type="noConversion"/>
  </si>
  <si>
    <t>연말</t>
    <phoneticPr fontId="3" type="noConversion"/>
  </si>
  <si>
    <t>PPL</t>
    <phoneticPr fontId="3" type="noConversion"/>
  </si>
  <si>
    <t>제약광고심의 (약 200건)</t>
    <phoneticPr fontId="3" type="noConversion"/>
  </si>
  <si>
    <t>Non-skippable Ad</t>
    <phoneticPr fontId="3" type="noConversion"/>
  </si>
  <si>
    <t>비즈보드</t>
    <phoneticPr fontId="3" type="noConversion"/>
  </si>
  <si>
    <t>디스플레이</t>
    <phoneticPr fontId="3" type="noConversion"/>
  </si>
  <si>
    <t>피드배너 + 띠배너 + 본문자동짤방</t>
    <phoneticPr fontId="3" type="noConversion"/>
  </si>
  <si>
    <t>브랜드검색 PC 프리미엄 동영상 슬로건</t>
    <phoneticPr fontId="3" type="noConversion"/>
  </si>
  <si>
    <t>브랜드검색 모바일 프리미엄형 동영상</t>
    <phoneticPr fontId="3" type="noConversion"/>
  </si>
  <si>
    <t>브랜드검색 모바일 라이트형 일반</t>
    <phoneticPr fontId="3" type="noConversion"/>
  </si>
  <si>
    <t>서울 버스 외부 광고(35-40대 예정)</t>
    <phoneticPr fontId="3" type="noConversion"/>
  </si>
  <si>
    <t>서울 및 광역시 버스 가로변 쉘터</t>
    <phoneticPr fontId="3" type="noConversion"/>
  </si>
  <si>
    <t>서울 종로5가 BRT 중앙 쉘터</t>
    <phoneticPr fontId="3" type="noConversion"/>
  </si>
  <si>
    <t>서울 버스 가로변 쉘터(충정로)</t>
    <phoneticPr fontId="3" type="noConversion"/>
  </si>
  <si>
    <t>골프존(6초 동영상, 전국커버)</t>
    <phoneticPr fontId="3" type="noConversion"/>
  </si>
  <si>
    <t>제약광고심의 (약 240건)</t>
    <phoneticPr fontId="3" type="noConversion"/>
  </si>
  <si>
    <t>카카오톡 이모티콘 제작 및 배포(1개월 기준)</t>
    <phoneticPr fontId="3" type="noConversion"/>
  </si>
  <si>
    <t>포커스미디어(주거지역&amp;오피스지역)</t>
    <phoneticPr fontId="3" type="noConversion"/>
  </si>
  <si>
    <t>복약지도 영상 제작</t>
    <phoneticPr fontId="3" type="noConversion"/>
  </si>
  <si>
    <t>23.1.13</t>
    <phoneticPr fontId="3" type="noConversion"/>
  </si>
  <si>
    <t>출력비</t>
    <phoneticPr fontId="3" type="noConversion"/>
  </si>
  <si>
    <t>약국 POP 및 기타 제작</t>
    <phoneticPr fontId="3" type="noConversion"/>
  </si>
  <si>
    <t>옥외 출력비</t>
    <phoneticPr fontId="3" type="noConversion"/>
  </si>
  <si>
    <t>23.3.14</t>
    <phoneticPr fontId="3" type="noConversion"/>
  </si>
  <si>
    <t>23.3.20</t>
    <phoneticPr fontId="3" type="noConversion"/>
  </si>
  <si>
    <t>23.4.24</t>
    <phoneticPr fontId="3" type="noConversion"/>
  </si>
  <si>
    <t>23.8.18</t>
    <phoneticPr fontId="3" type="noConversion"/>
  </si>
  <si>
    <t>23.10.17</t>
    <phoneticPr fontId="3" type="noConversion"/>
  </si>
  <si>
    <t>23.12.22</t>
    <phoneticPr fontId="3" type="noConversion"/>
  </si>
  <si>
    <t>옥외 전광판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</si>
</sst>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10"/>
      <color rgb="FFFF0000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theme="1"/>
      </bottom>
      <diagonal/>
    </border>
    <border>
      <left/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double">
        <color theme="1"/>
      </top>
      <bottom style="thin">
        <color indexed="64"/>
      </bottom>
      <diagonal/>
    </border>
    <border>
      <left/>
      <right style="thin">
        <color indexed="64"/>
      </right>
      <top style="double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theme="1"/>
      </bottom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double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 readingOrder="1"/>
    </xf>
    <xf numFmtId="41" fontId="4" fillId="2" borderId="2" xfId="1" applyFont="1" applyFill="1" applyBorder="1" applyAlignment="1">
      <alignment horizontal="center" vertical="center" wrapText="1" readingOrder="1"/>
    </xf>
    <xf numFmtId="41" fontId="4" fillId="0" borderId="2" xfId="1" applyFont="1" applyFill="1" applyBorder="1" applyAlignment="1">
      <alignment horizontal="center" vertical="center" wrapText="1" readingOrder="1"/>
    </xf>
    <xf numFmtId="0" fontId="7" fillId="3" borderId="7" xfId="0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41" fontId="7" fillId="0" borderId="2" xfId="1" applyFont="1" applyFill="1" applyBorder="1" applyAlignment="1">
      <alignment horizontal="right" vertical="center" wrapText="1" readingOrder="1"/>
    </xf>
    <xf numFmtId="41" fontId="7" fillId="0" borderId="2" xfId="1" applyFont="1" applyFill="1" applyBorder="1" applyAlignment="1">
      <alignment horizontal="center" vertical="center" wrapText="1" readingOrder="1"/>
    </xf>
    <xf numFmtId="41" fontId="7" fillId="3" borderId="2" xfId="1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41" fontId="4" fillId="4" borderId="2" xfId="1" applyFont="1" applyFill="1" applyBorder="1" applyAlignment="1">
      <alignment horizontal="right" vertical="center" wrapText="1" readingOrder="1"/>
    </xf>
    <xf numFmtId="0" fontId="7" fillId="0" borderId="7" xfId="0" applyFont="1" applyFill="1" applyBorder="1" applyAlignment="1">
      <alignment horizontal="center" vertical="center" wrapText="1" readingOrder="1"/>
    </xf>
    <xf numFmtId="41" fontId="6" fillId="0" borderId="2" xfId="1" applyFont="1" applyFill="1" applyBorder="1" applyAlignment="1">
      <alignment horizontal="right" vertical="center" wrapText="1" readingOrder="1"/>
    </xf>
    <xf numFmtId="0" fontId="7" fillId="0" borderId="8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vertical="center" wrapText="1" readingOrder="1"/>
    </xf>
    <xf numFmtId="41" fontId="7" fillId="3" borderId="2" xfId="1" applyFont="1" applyFill="1" applyBorder="1" applyAlignment="1">
      <alignment horizontal="right" vertical="center" wrapTex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5" xfId="0" applyFont="1" applyFill="1" applyBorder="1" applyAlignment="1">
      <alignment horizontal="center" vertical="center" wrapText="1" readingOrder="1"/>
    </xf>
    <xf numFmtId="41" fontId="4" fillId="6" borderId="2" xfId="1" applyFont="1" applyFill="1" applyBorder="1" applyAlignment="1">
      <alignment horizontal="right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6" fillId="0" borderId="2" xfId="0" applyFont="1" applyFill="1" applyBorder="1" applyAlignment="1">
      <alignment horizontal="center" vertical="center" wrapText="1" readingOrder="1"/>
    </xf>
    <xf numFmtId="41" fontId="7" fillId="0" borderId="6" xfId="1" applyFont="1" applyFill="1" applyBorder="1" applyAlignment="1">
      <alignment horizontal="right" vertical="center" wrapText="1" readingOrder="1"/>
    </xf>
    <xf numFmtId="0" fontId="7" fillId="0" borderId="2" xfId="0" quotePrefix="1" applyFont="1" applyFill="1" applyBorder="1" applyAlignment="1">
      <alignment horizontal="center" vertical="center" wrapText="1" readingOrder="1"/>
    </xf>
    <xf numFmtId="41" fontId="4" fillId="7" borderId="2" xfId="1" applyFont="1" applyFill="1" applyBorder="1" applyAlignment="1">
      <alignment horizontal="center" vertical="center" wrapText="1" readingOrder="1"/>
    </xf>
    <xf numFmtId="41" fontId="4" fillId="7" borderId="2" xfId="1" applyNumberFormat="1" applyFont="1" applyFill="1" applyBorder="1" applyAlignment="1">
      <alignment horizontal="center" vertical="center" wrapText="1" readingOrder="1"/>
    </xf>
    <xf numFmtId="41" fontId="4" fillId="8" borderId="2" xfId="1" applyFont="1" applyFill="1" applyBorder="1" applyAlignment="1">
      <alignment horizontal="right" vertical="center" wrapText="1" readingOrder="1"/>
    </xf>
    <xf numFmtId="41" fontId="5" fillId="0" borderId="2" xfId="1" applyFont="1" applyBorder="1">
      <alignment vertical="center"/>
    </xf>
    <xf numFmtId="41" fontId="9" fillId="0" borderId="2" xfId="1" applyFont="1" applyFill="1" applyBorder="1">
      <alignment vertical="center"/>
    </xf>
    <xf numFmtId="43" fontId="0" fillId="0" borderId="0" xfId="0" applyNumberFormat="1">
      <alignment vertical="center"/>
    </xf>
    <xf numFmtId="41" fontId="0" fillId="0" borderId="0" xfId="0" applyNumberFormat="1">
      <alignment vertical="center"/>
    </xf>
    <xf numFmtId="41" fontId="5" fillId="10" borderId="2" xfId="1" applyFont="1" applyFill="1" applyBorder="1">
      <alignment vertical="center"/>
    </xf>
    <xf numFmtId="41" fontId="9" fillId="5" borderId="2" xfId="1" applyFont="1" applyFill="1" applyBorder="1">
      <alignment vertical="center"/>
    </xf>
    <xf numFmtId="41" fontId="0" fillId="0" borderId="0" xfId="1" applyFont="1">
      <alignment vertical="center"/>
    </xf>
    <xf numFmtId="0" fontId="6" fillId="0" borderId="0" xfId="0" applyFont="1" applyFill="1">
      <alignment vertical="center"/>
    </xf>
    <xf numFmtId="0" fontId="14" fillId="0" borderId="0" xfId="0" applyFont="1" applyFill="1" applyBorder="1">
      <alignment vertical="center"/>
    </xf>
    <xf numFmtId="0" fontId="15" fillId="0" borderId="0" xfId="0" quotePrefix="1" applyFont="1" applyFill="1" applyBorder="1" applyAlignment="1">
      <alignment horizontal="right"/>
    </xf>
    <xf numFmtId="0" fontId="6" fillId="0" borderId="0" xfId="0" applyFont="1" applyFill="1" applyBorder="1">
      <alignment vertical="center"/>
    </xf>
    <xf numFmtId="0" fontId="16" fillId="0" borderId="12" xfId="0" applyFont="1" applyFill="1" applyBorder="1">
      <alignment vertical="center"/>
    </xf>
    <xf numFmtId="0" fontId="17" fillId="0" borderId="12" xfId="0" applyFont="1" applyFill="1" applyBorder="1" applyAlignment="1">
      <alignment horizontal="right" vertical="center"/>
    </xf>
    <xf numFmtId="0" fontId="16" fillId="0" borderId="0" xfId="0" applyFont="1" applyFill="1">
      <alignment vertical="center"/>
    </xf>
    <xf numFmtId="0" fontId="16" fillId="0" borderId="0" xfId="0" applyFont="1" applyFill="1" applyAlignment="1">
      <alignment horizontal="right" vertical="center"/>
    </xf>
    <xf numFmtId="0" fontId="18" fillId="0" borderId="11" xfId="0" applyFont="1" applyFill="1" applyBorder="1">
      <alignment vertical="center"/>
    </xf>
    <xf numFmtId="0" fontId="17" fillId="0" borderId="11" xfId="0" applyFont="1" applyFill="1" applyBorder="1" applyAlignment="1">
      <alignment horizontal="right" vertical="top"/>
    </xf>
    <xf numFmtId="0" fontId="18" fillId="0" borderId="0" xfId="0" applyFont="1" applyFill="1">
      <alignment vertical="center"/>
    </xf>
    <xf numFmtId="0" fontId="5" fillId="11" borderId="0" xfId="0" applyFont="1" applyFill="1" applyBorder="1">
      <alignment vertical="center"/>
    </xf>
    <xf numFmtId="0" fontId="6" fillId="11" borderId="0" xfId="0" applyFont="1" applyFill="1" applyBorder="1">
      <alignment vertical="center"/>
    </xf>
    <xf numFmtId="0" fontId="17" fillId="0" borderId="0" xfId="0" quotePrefix="1" applyFont="1" applyFill="1" applyBorder="1" applyAlignment="1">
      <alignment horizontal="right" vertical="center"/>
    </xf>
    <xf numFmtId="0" fontId="11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right"/>
    </xf>
    <xf numFmtId="0" fontId="6" fillId="0" borderId="0" xfId="0" applyFont="1" applyFill="1" applyAlignment="1">
      <alignment horizontal="right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 wrapText="1" readingOrder="1"/>
    </xf>
    <xf numFmtId="0" fontId="7" fillId="8" borderId="21" xfId="0" applyFont="1" applyFill="1" applyBorder="1" applyAlignment="1">
      <alignment horizontal="center" vertical="center" wrapText="1" readingOrder="1"/>
    </xf>
    <xf numFmtId="41" fontId="6" fillId="8" borderId="7" xfId="1" applyFont="1" applyFill="1" applyBorder="1" applyAlignment="1">
      <alignment horizontal="center" vertical="center"/>
    </xf>
    <xf numFmtId="41" fontId="6" fillId="8" borderId="20" xfId="0" applyNumberFormat="1" applyFont="1" applyFill="1" applyBorder="1" applyAlignment="1">
      <alignment horizontal="center" vertical="center"/>
    </xf>
    <xf numFmtId="41" fontId="6" fillId="8" borderId="22" xfId="0" applyNumberFormat="1" applyFont="1" applyFill="1" applyBorder="1" applyAlignment="1">
      <alignment horizontal="center" vertical="center"/>
    </xf>
    <xf numFmtId="41" fontId="6" fillId="8" borderId="20" xfId="1" applyFont="1" applyFill="1" applyBorder="1" applyAlignment="1">
      <alignment horizontal="center" vertical="center"/>
    </xf>
    <xf numFmtId="41" fontId="6" fillId="8" borderId="23" xfId="1" applyFont="1" applyFill="1" applyBorder="1" applyAlignment="1">
      <alignment horizontal="center" vertical="center"/>
    </xf>
    <xf numFmtId="41" fontId="6" fillId="8" borderId="24" xfId="1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 wrapText="1" readingOrder="1"/>
    </xf>
    <xf numFmtId="0" fontId="6" fillId="0" borderId="28" xfId="0" applyFont="1" applyFill="1" applyBorder="1" applyAlignment="1">
      <alignment horizontal="center" vertical="center"/>
    </xf>
    <xf numFmtId="41" fontId="6" fillId="0" borderId="29" xfId="1" applyFont="1" applyFill="1" applyBorder="1">
      <alignment vertical="center"/>
    </xf>
    <xf numFmtId="41" fontId="6" fillId="0" borderId="27" xfId="1" applyFont="1" applyFill="1" applyBorder="1">
      <alignment vertical="center"/>
    </xf>
    <xf numFmtId="41" fontId="6" fillId="0" borderId="30" xfId="1" applyFont="1" applyFill="1" applyBorder="1">
      <alignment vertical="center"/>
    </xf>
    <xf numFmtId="41" fontId="6" fillId="0" borderId="31" xfId="1" applyFont="1" applyFill="1" applyBorder="1">
      <alignment vertical="center"/>
    </xf>
    <xf numFmtId="41" fontId="6" fillId="0" borderId="32" xfId="1" applyFont="1" applyFill="1" applyBorder="1">
      <alignment vertical="center"/>
    </xf>
    <xf numFmtId="41" fontId="6" fillId="0" borderId="33" xfId="1" applyFont="1" applyFill="1" applyBorder="1">
      <alignment vertical="center"/>
    </xf>
    <xf numFmtId="41" fontId="6" fillId="0" borderId="34" xfId="1" applyFont="1" applyFill="1" applyBorder="1">
      <alignment vertical="center"/>
    </xf>
    <xf numFmtId="41" fontId="6" fillId="0" borderId="35" xfId="1" applyFont="1" applyFill="1" applyBorder="1">
      <alignment vertical="center"/>
    </xf>
    <xf numFmtId="41" fontId="6" fillId="0" borderId="36" xfId="1" applyFont="1" applyFill="1" applyBorder="1">
      <alignment vertical="center"/>
    </xf>
    <xf numFmtId="0" fontId="6" fillId="0" borderId="37" xfId="0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 readingOrder="1"/>
    </xf>
    <xf numFmtId="0" fontId="6" fillId="0" borderId="0" xfId="0" applyFont="1" applyFill="1" applyBorder="1" applyAlignment="1">
      <alignment horizontal="center" vertical="center"/>
    </xf>
    <xf numFmtId="41" fontId="6" fillId="0" borderId="0" xfId="1" applyFont="1" applyFill="1" applyBorder="1">
      <alignment vertical="center"/>
    </xf>
    <xf numFmtId="0" fontId="19" fillId="0" borderId="0" xfId="0" applyFont="1" applyFill="1" applyBorder="1" applyAlignment="1">
      <alignment horizontal="left" vertical="center" readingOrder="1"/>
    </xf>
    <xf numFmtId="0" fontId="4" fillId="0" borderId="0" xfId="0" applyFont="1" applyFill="1" applyBorder="1" applyAlignment="1">
      <alignment horizontal="left" vertical="center" readingOrder="1"/>
    </xf>
    <xf numFmtId="0" fontId="6" fillId="0" borderId="39" xfId="0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42" xfId="0" applyFont="1" applyFill="1" applyBorder="1" applyAlignment="1">
      <alignment horizontal="center" vertical="center"/>
    </xf>
    <xf numFmtId="41" fontId="6" fillId="0" borderId="10" xfId="1" applyFont="1" applyFill="1" applyBorder="1" applyAlignment="1">
      <alignment vertical="center" shrinkToFit="1"/>
    </xf>
    <xf numFmtId="41" fontId="6" fillId="0" borderId="45" xfId="1" applyFont="1" applyFill="1" applyBorder="1" applyAlignment="1">
      <alignment horizontal="center" vertical="center" shrinkToFit="1"/>
    </xf>
    <xf numFmtId="41" fontId="6" fillId="0" borderId="46" xfId="1" applyFont="1" applyFill="1" applyBorder="1" applyAlignment="1">
      <alignment horizontal="center" vertical="center" shrinkToFit="1"/>
    </xf>
    <xf numFmtId="41" fontId="6" fillId="0" borderId="45" xfId="1" applyFont="1" applyFill="1" applyBorder="1" applyAlignment="1">
      <alignment horizontal="center" vertical="center"/>
    </xf>
    <xf numFmtId="41" fontId="6" fillId="0" borderId="47" xfId="1" applyFont="1" applyFill="1" applyBorder="1" applyAlignment="1">
      <alignment horizontal="center" vertical="center"/>
    </xf>
    <xf numFmtId="41" fontId="6" fillId="0" borderId="46" xfId="1" applyFont="1" applyFill="1" applyBorder="1" applyAlignment="1">
      <alignment horizontal="center" vertical="center"/>
    </xf>
    <xf numFmtId="41" fontId="6" fillId="0" borderId="42" xfId="1" applyFont="1" applyFill="1" applyBorder="1" applyAlignment="1">
      <alignment horizontal="center" vertical="center"/>
    </xf>
    <xf numFmtId="41" fontId="6" fillId="0" borderId="48" xfId="1" applyFont="1" applyFill="1" applyBorder="1" applyAlignment="1">
      <alignment horizontal="center" vertical="center"/>
    </xf>
    <xf numFmtId="41" fontId="20" fillId="0" borderId="48" xfId="1" applyFont="1" applyFill="1" applyBorder="1" applyAlignment="1">
      <alignment horizontal="center" vertical="center"/>
    </xf>
    <xf numFmtId="41" fontId="6" fillId="0" borderId="47" xfId="1" applyFont="1" applyFill="1" applyBorder="1">
      <alignment vertical="center"/>
    </xf>
    <xf numFmtId="41" fontId="6" fillId="0" borderId="46" xfId="1" applyFont="1" applyFill="1" applyBorder="1">
      <alignment vertical="center"/>
    </xf>
    <xf numFmtId="0" fontId="6" fillId="0" borderId="49" xfId="0" applyFont="1" applyFill="1" applyBorder="1" applyAlignment="1">
      <alignment horizontal="center" vertical="center"/>
    </xf>
    <xf numFmtId="41" fontId="6" fillId="0" borderId="52" xfId="1" applyFont="1" applyFill="1" applyBorder="1" applyAlignment="1">
      <alignment vertical="center" shrinkToFit="1"/>
    </xf>
    <xf numFmtId="41" fontId="6" fillId="0" borderId="53" xfId="1" applyFont="1" applyFill="1" applyBorder="1" applyAlignment="1">
      <alignment horizontal="center" vertical="center" shrinkToFit="1"/>
    </xf>
    <xf numFmtId="41" fontId="6" fillId="0" borderId="54" xfId="1" applyFont="1" applyFill="1" applyBorder="1" applyAlignment="1">
      <alignment horizontal="center" vertical="center" shrinkToFit="1"/>
    </xf>
    <xf numFmtId="41" fontId="6" fillId="0" borderId="55" xfId="1" applyFont="1" applyFill="1" applyBorder="1" applyAlignment="1">
      <alignment horizontal="center" vertical="center"/>
    </xf>
    <xf numFmtId="41" fontId="6" fillId="0" borderId="56" xfId="1" applyFont="1" applyFill="1" applyBorder="1" applyAlignment="1">
      <alignment horizontal="center" vertical="center"/>
    </xf>
    <xf numFmtId="41" fontId="6" fillId="0" borderId="57" xfId="1" applyFont="1" applyFill="1" applyBorder="1" applyAlignment="1">
      <alignment horizontal="center" vertical="center"/>
    </xf>
    <xf numFmtId="41" fontId="6" fillId="0" borderId="49" xfId="1" applyFont="1" applyFill="1" applyBorder="1" applyAlignment="1">
      <alignment horizontal="center" vertical="center"/>
    </xf>
    <xf numFmtId="41" fontId="6" fillId="0" borderId="50" xfId="1" applyFont="1" applyFill="1" applyBorder="1" applyAlignment="1">
      <alignment horizontal="center" vertical="center"/>
    </xf>
    <xf numFmtId="41" fontId="6" fillId="0" borderId="56" xfId="1" applyFont="1" applyFill="1" applyBorder="1">
      <alignment vertical="center"/>
    </xf>
    <xf numFmtId="41" fontId="6" fillId="0" borderId="57" xfId="1" applyFont="1" applyFill="1" applyBorder="1">
      <alignment vertical="center"/>
    </xf>
    <xf numFmtId="41" fontId="6" fillId="0" borderId="55" xfId="1" applyFont="1" applyFill="1" applyBorder="1" applyAlignment="1">
      <alignment horizontal="center" vertical="center" shrinkToFit="1"/>
    </xf>
    <xf numFmtId="41" fontId="6" fillId="0" borderId="57" xfId="1" applyFont="1" applyFill="1" applyBorder="1" applyAlignment="1">
      <alignment horizontal="center" vertical="center" shrinkToFit="1"/>
    </xf>
    <xf numFmtId="41" fontId="20" fillId="0" borderId="56" xfId="1" applyFont="1" applyFill="1" applyBorder="1" applyAlignment="1">
      <alignment horizontal="center" vertical="center"/>
    </xf>
    <xf numFmtId="41" fontId="6" fillId="0" borderId="60" xfId="1" applyFont="1" applyFill="1" applyBorder="1" applyAlignment="1">
      <alignment vertical="center" shrinkToFit="1"/>
    </xf>
    <xf numFmtId="41" fontId="6" fillId="0" borderId="61" xfId="1" applyFont="1" applyFill="1" applyBorder="1" applyAlignment="1">
      <alignment horizontal="center" vertical="center" shrinkToFit="1"/>
    </xf>
    <xf numFmtId="41" fontId="6" fillId="0" borderId="62" xfId="1" applyFont="1" applyFill="1" applyBorder="1" applyAlignment="1">
      <alignment horizontal="center" vertical="center" shrinkToFit="1"/>
    </xf>
    <xf numFmtId="41" fontId="6" fillId="0" borderId="9" xfId="1" applyFont="1" applyFill="1" applyBorder="1" applyAlignment="1">
      <alignment vertical="center" shrinkToFit="1"/>
    </xf>
    <xf numFmtId="41" fontId="6" fillId="0" borderId="64" xfId="1" applyFont="1" applyFill="1" applyBorder="1" applyAlignment="1">
      <alignment horizontal="center" vertical="center" shrinkToFit="1"/>
    </xf>
    <xf numFmtId="41" fontId="6" fillId="0" borderId="65" xfId="1" applyFont="1" applyFill="1" applyBorder="1" applyAlignment="1">
      <alignment horizontal="center" vertical="center" shrinkToFit="1"/>
    </xf>
    <xf numFmtId="41" fontId="6" fillId="0" borderId="64" xfId="1" applyFont="1" applyFill="1" applyBorder="1" applyAlignment="1">
      <alignment horizontal="center" vertical="center"/>
    </xf>
    <xf numFmtId="41" fontId="6" fillId="0" borderId="66" xfId="1" applyFont="1" applyFill="1" applyBorder="1" applyAlignment="1">
      <alignment horizontal="center" vertical="center"/>
    </xf>
    <xf numFmtId="41" fontId="6" fillId="0" borderId="65" xfId="1" applyFont="1" applyFill="1" applyBorder="1" applyAlignment="1">
      <alignment horizontal="center" vertical="center"/>
    </xf>
    <xf numFmtId="41" fontId="6" fillId="0" borderId="67" xfId="1" applyFont="1" applyFill="1" applyBorder="1" applyAlignment="1">
      <alignment horizontal="center" vertical="center"/>
    </xf>
    <xf numFmtId="41" fontId="6" fillId="0" borderId="68" xfId="1" applyFont="1" applyFill="1" applyBorder="1" applyAlignment="1">
      <alignment horizontal="center" vertical="center"/>
    </xf>
    <xf numFmtId="41" fontId="6" fillId="12" borderId="2" xfId="0" applyNumberFormat="1" applyFont="1" applyFill="1" applyBorder="1">
      <alignment vertical="center"/>
    </xf>
    <xf numFmtId="41" fontId="6" fillId="12" borderId="34" xfId="0" applyNumberFormat="1" applyFont="1" applyFill="1" applyBorder="1">
      <alignment vertical="center"/>
    </xf>
    <xf numFmtId="41" fontId="6" fillId="12" borderId="36" xfId="0" applyNumberFormat="1" applyFont="1" applyFill="1" applyBorder="1">
      <alignment vertical="center"/>
    </xf>
    <xf numFmtId="41" fontId="6" fillId="12" borderId="35" xfId="0" applyNumberFormat="1" applyFont="1" applyFill="1" applyBorder="1">
      <alignment vertical="center"/>
    </xf>
    <xf numFmtId="41" fontId="6" fillId="12" borderId="69" xfId="0" applyNumberFormat="1" applyFont="1" applyFill="1" applyBorder="1">
      <alignment vertical="center"/>
    </xf>
    <xf numFmtId="41" fontId="6" fillId="12" borderId="70" xfId="0" applyNumberFormat="1" applyFont="1" applyFill="1" applyBorder="1">
      <alignment vertical="center"/>
    </xf>
    <xf numFmtId="43" fontId="6" fillId="0" borderId="0" xfId="0" applyNumberFormat="1" applyFont="1" applyFill="1">
      <alignment vertical="center"/>
    </xf>
    <xf numFmtId="176" fontId="6" fillId="0" borderId="0" xfId="0" applyNumberFormat="1" applyFont="1" applyFill="1">
      <alignment vertical="center"/>
    </xf>
    <xf numFmtId="0" fontId="7" fillId="0" borderId="2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7" fillId="0" borderId="5" xfId="0" applyFont="1" applyFill="1" applyBorder="1" applyAlignment="1">
      <alignment horizontal="center" vertical="center" wrapText="1" readingOrder="1"/>
    </xf>
    <xf numFmtId="0" fontId="11" fillId="0" borderId="1" xfId="0" applyFont="1" applyBorder="1">
      <alignment vertical="center"/>
    </xf>
    <xf numFmtId="0" fontId="0" fillId="0" borderId="1" xfId="0" applyBorder="1">
      <alignment vertical="center"/>
    </xf>
    <xf numFmtId="41" fontId="7" fillId="5" borderId="2" xfId="1" applyFont="1" applyFill="1" applyBorder="1" applyAlignment="1">
      <alignment horizontal="right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7" xfId="0" applyFont="1" applyFill="1" applyBorder="1" applyAlignment="1">
      <alignment horizontal="center" vertical="center" wrapText="1" readingOrder="1"/>
    </xf>
    <xf numFmtId="0" fontId="7" fillId="0" borderId="8" xfId="0" applyFont="1" applyFill="1" applyBorder="1" applyAlignment="1">
      <alignment horizontal="center" vertical="center" wrapText="1" readingOrder="1"/>
    </xf>
    <xf numFmtId="0" fontId="7" fillId="0" borderId="7" xfId="0" applyFont="1" applyFill="1" applyBorder="1" applyAlignment="1">
      <alignment horizontal="center" vertical="center" wrapTex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6" fillId="0" borderId="17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41" fontId="20" fillId="5" borderId="2" xfId="1" applyFont="1" applyFill="1" applyBorder="1" applyAlignment="1">
      <alignment horizontal="right" vertical="center" wrapText="1" readingOrder="1"/>
    </xf>
    <xf numFmtId="41" fontId="6" fillId="5" borderId="56" xfId="1" applyFont="1" applyFill="1" applyBorder="1" applyAlignment="1">
      <alignment horizontal="center" vertical="center"/>
    </xf>
    <xf numFmtId="41" fontId="6" fillId="5" borderId="57" xfId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23" fillId="0" borderId="2" xfId="1" applyFont="1" applyFill="1" applyBorder="1" applyAlignment="1">
      <alignment horizontal="right" vertical="center" wrapText="1" readingOrder="1"/>
    </xf>
    <xf numFmtId="41" fontId="6" fillId="5" borderId="49" xfId="1" applyFont="1" applyFill="1" applyBorder="1" applyAlignment="1">
      <alignment horizontal="center" vertical="center"/>
    </xf>
    <xf numFmtId="41" fontId="6" fillId="5" borderId="50" xfId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7" xfId="0" applyFont="1" applyFill="1" applyBorder="1" applyAlignment="1">
      <alignment horizontal="center" vertical="center" wrapText="1" readingOrder="1"/>
    </xf>
    <xf numFmtId="0" fontId="7" fillId="0" borderId="8" xfId="0" applyFont="1" applyFill="1" applyBorder="1" applyAlignment="1">
      <alignment horizontal="center" vertical="center" wrapText="1" readingOrder="1"/>
    </xf>
    <xf numFmtId="0" fontId="7" fillId="0" borderId="7" xfId="0" applyFont="1" applyFill="1" applyBorder="1" applyAlignment="1">
      <alignment horizontal="center" vertical="center" wrapTex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6" fillId="0" borderId="17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41" fontId="20" fillId="0" borderId="2" xfId="1" applyFont="1" applyFill="1" applyBorder="1" applyAlignment="1">
      <alignment horizontal="right" vertical="center" wrapText="1" readingOrder="1"/>
    </xf>
    <xf numFmtId="41" fontId="7" fillId="5" borderId="2" xfId="1" applyFont="1" applyFill="1" applyBorder="1" applyAlignment="1">
      <alignment horizontal="center" vertical="center" wrapText="1" readingOrder="1"/>
    </xf>
    <xf numFmtId="41" fontId="6" fillId="5" borderId="46" xfId="1" applyFont="1" applyFill="1" applyBorder="1" applyAlignment="1">
      <alignment horizontal="center" vertical="center"/>
    </xf>
    <xf numFmtId="41" fontId="6" fillId="5" borderId="42" xfId="1" applyFont="1" applyFill="1" applyBorder="1" applyAlignment="1">
      <alignment horizontal="center" vertical="center"/>
    </xf>
    <xf numFmtId="41" fontId="6" fillId="5" borderId="47" xfId="1" applyFont="1" applyFill="1" applyBorder="1" applyAlignment="1">
      <alignment horizontal="center" vertical="center"/>
    </xf>
    <xf numFmtId="41" fontId="20" fillId="5" borderId="48" xfId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 readingOrder="1"/>
    </xf>
    <xf numFmtId="0" fontId="7" fillId="0" borderId="7" xfId="0" applyFont="1" applyFill="1" applyBorder="1" applyAlignment="1">
      <alignment horizontal="center" vertical="center" wrapTex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7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6" fillId="0" borderId="17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41" fontId="20" fillId="5" borderId="56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0" borderId="8" xfId="0" applyFont="1" applyFill="1" applyBorder="1" applyAlignment="1">
      <alignment horizontal="center" vertical="center" wrapTex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7" fillId="0" borderId="7" xfId="0" applyFont="1" applyFill="1" applyBorder="1" applyAlignment="1">
      <alignment horizontal="center" vertical="center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6" fillId="0" borderId="17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 readingOrder="1"/>
    </xf>
    <xf numFmtId="0" fontId="7" fillId="0" borderId="7" xfId="0" applyFont="1" applyFill="1" applyBorder="1" applyAlignment="1">
      <alignment horizontal="center" vertical="center" wrapTex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7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6" fillId="0" borderId="17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 readingOrder="1"/>
    </xf>
    <xf numFmtId="0" fontId="7" fillId="0" borderId="7" xfId="0" applyFont="1" applyFill="1" applyBorder="1" applyAlignment="1">
      <alignment horizontal="center" vertical="center" wrapTex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7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6" fillId="0" borderId="17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6" fillId="0" borderId="0" xfId="0" applyNumberFormat="1" applyFont="1" applyFill="1">
      <alignment vertical="center"/>
    </xf>
    <xf numFmtId="41" fontId="20" fillId="0" borderId="6" xfId="1" applyFont="1" applyFill="1" applyBorder="1" applyAlignment="1">
      <alignment horizontal="right" vertical="center" wrapText="1" readingOrder="1"/>
    </xf>
    <xf numFmtId="0" fontId="2" fillId="0" borderId="1" xfId="0" applyFont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0" borderId="8" xfId="0" applyFont="1" applyFill="1" applyBorder="1" applyAlignment="1">
      <alignment horizontal="center" vertical="center" wrapTex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7" fillId="0" borderId="7" xfId="0" applyFont="1" applyFill="1" applyBorder="1" applyAlignment="1">
      <alignment horizontal="center" vertical="center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6" fillId="0" borderId="17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readingOrder="1"/>
    </xf>
    <xf numFmtId="0" fontId="10" fillId="0" borderId="11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 readingOrder="1"/>
    </xf>
    <xf numFmtId="0" fontId="7" fillId="0" borderId="7" xfId="0" applyFont="1" applyFill="1" applyBorder="1" applyAlignment="1">
      <alignment horizontal="center" vertical="center" wrapText="1" readingOrder="1"/>
    </xf>
    <xf numFmtId="0" fontId="7" fillId="0" borderId="8" xfId="0" quotePrefix="1" applyFont="1" applyFill="1" applyBorder="1" applyAlignment="1">
      <alignment horizontal="center" vertical="center" wrapText="1" readingOrder="1"/>
    </xf>
    <xf numFmtId="0" fontId="7" fillId="0" borderId="6" xfId="0" quotePrefix="1" applyFont="1" applyFill="1" applyBorder="1" applyAlignment="1">
      <alignment horizontal="center" vertical="center" wrapTex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7" fillId="0" borderId="7" xfId="0" quotePrefix="1" applyFont="1" applyFill="1" applyBorder="1" applyAlignment="1">
      <alignment horizontal="center" vertical="center" wrapText="1" readingOrder="1"/>
    </xf>
    <xf numFmtId="0" fontId="4" fillId="7" borderId="2" xfId="0" applyFont="1" applyFill="1" applyBorder="1" applyAlignment="1">
      <alignment horizontal="center" vertical="center" wrapText="1" readingOrder="1"/>
    </xf>
    <xf numFmtId="0" fontId="8" fillId="9" borderId="2" xfId="0" applyFont="1" applyFill="1" applyBorder="1" applyAlignment="1">
      <alignment horizontal="center" vertical="center" readingOrder="1"/>
    </xf>
    <xf numFmtId="0" fontId="4" fillId="7" borderId="3" xfId="0" applyFont="1" applyFill="1" applyBorder="1" applyAlignment="1">
      <alignment horizontal="center" vertical="center" wrapText="1" readingOrder="1"/>
    </xf>
    <xf numFmtId="0" fontId="4" fillId="7" borderId="4" xfId="0" applyFont="1" applyFill="1" applyBorder="1" applyAlignment="1">
      <alignment horizontal="center" vertical="center" wrapText="1" readingOrder="1"/>
    </xf>
    <xf numFmtId="0" fontId="4" fillId="7" borderId="5" xfId="0" applyFont="1" applyFill="1" applyBorder="1" applyAlignment="1">
      <alignment horizontal="center" vertical="center" wrapText="1" readingOrder="1"/>
    </xf>
    <xf numFmtId="0" fontId="8" fillId="10" borderId="3" xfId="0" applyFont="1" applyFill="1" applyBorder="1" applyAlignment="1">
      <alignment horizontal="center" vertical="center" readingOrder="1"/>
    </xf>
    <xf numFmtId="0" fontId="8" fillId="10" borderId="4" xfId="0" applyFont="1" applyFill="1" applyBorder="1" applyAlignment="1">
      <alignment horizontal="center" vertical="center" readingOrder="1"/>
    </xf>
    <xf numFmtId="0" fontId="8" fillId="10" borderId="5" xfId="0" applyFont="1" applyFill="1" applyBorder="1" applyAlignment="1">
      <alignment horizontal="center" vertical="center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6" xfId="0" applyFont="1" applyFill="1" applyBorder="1" applyAlignment="1">
      <alignment horizontal="center" vertical="center" wrapText="1" readingOrder="1"/>
    </xf>
    <xf numFmtId="0" fontId="7" fillId="3" borderId="7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6" borderId="2" xfId="0" applyFont="1" applyFill="1" applyBorder="1" applyAlignment="1">
      <alignment horizontal="center" vertical="center" wrapText="1" readingOrder="1"/>
    </xf>
    <xf numFmtId="0" fontId="6" fillId="0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0" borderId="3" xfId="0" applyFont="1" applyFill="1" applyBorder="1" applyAlignment="1">
      <alignment horizontal="center" vertical="center" wrapText="1" readingOrder="1"/>
    </xf>
    <xf numFmtId="0" fontId="4" fillId="0" borderId="4" xfId="0" applyFont="1" applyFill="1" applyBorder="1" applyAlignment="1">
      <alignment horizontal="center" vertical="center" wrapText="1" readingOrder="1"/>
    </xf>
    <xf numFmtId="0" fontId="4" fillId="0" borderId="5" xfId="0" applyFont="1" applyFill="1" applyBorder="1" applyAlignment="1">
      <alignment horizontal="center" vertical="center" wrapText="1" readingOrder="1"/>
    </xf>
    <xf numFmtId="0" fontId="6" fillId="0" borderId="6" xfId="0" applyFont="1" applyFill="1" applyBorder="1" applyAlignment="1">
      <alignment horizontal="center" vertical="center" readingOrder="1"/>
    </xf>
    <xf numFmtId="0" fontId="6" fillId="0" borderId="7" xfId="0" applyFont="1" applyFill="1" applyBorder="1" applyAlignment="1">
      <alignment horizontal="center" vertical="center" readingOrder="1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7" fillId="3" borderId="10" xfId="0" applyFont="1" applyFill="1" applyBorder="1" applyAlignment="1">
      <alignment horizontal="center" vertical="center" wrapText="1" readingOrder="1"/>
    </xf>
    <xf numFmtId="0" fontId="6" fillId="12" borderId="3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0" borderId="50" xfId="0" applyFont="1" applyFill="1" applyBorder="1" applyAlignment="1">
      <alignment horizontal="center" vertical="center" shrinkToFit="1"/>
    </xf>
    <xf numFmtId="0" fontId="6" fillId="0" borderId="51" xfId="0" applyFont="1" applyFill="1" applyBorder="1" applyAlignment="1">
      <alignment horizontal="center" vertical="center" shrinkToFit="1"/>
    </xf>
    <xf numFmtId="0" fontId="6" fillId="0" borderId="58" xfId="0" applyFont="1" applyFill="1" applyBorder="1" applyAlignment="1">
      <alignment horizontal="center" vertical="center" shrinkToFit="1"/>
    </xf>
    <xf numFmtId="0" fontId="6" fillId="0" borderId="59" xfId="0" applyFont="1" applyFill="1" applyBorder="1" applyAlignment="1">
      <alignment horizontal="center" vertical="center" shrinkToFit="1"/>
    </xf>
    <xf numFmtId="0" fontId="6" fillId="0" borderId="9" xfId="0" quotePrefix="1" applyFont="1" applyFill="1" applyBorder="1" applyAlignment="1">
      <alignment horizontal="center" vertical="center"/>
    </xf>
    <xf numFmtId="0" fontId="6" fillId="0" borderId="11" xfId="0" quotePrefix="1" applyFont="1" applyFill="1" applyBorder="1" applyAlignment="1">
      <alignment horizontal="center" vertical="center"/>
    </xf>
    <xf numFmtId="0" fontId="6" fillId="0" borderId="63" xfId="0" quotePrefix="1" applyFont="1" applyFill="1" applyBorder="1" applyAlignment="1">
      <alignment horizontal="center" vertical="center"/>
    </xf>
    <xf numFmtId="0" fontId="6" fillId="0" borderId="41" xfId="0" applyFont="1" applyFill="1" applyBorder="1" applyAlignment="1">
      <alignment horizontal="center" vertical="center" readingOrder="1"/>
    </xf>
    <xf numFmtId="0" fontId="6" fillId="0" borderId="41" xfId="0" applyFont="1" applyFill="1" applyBorder="1" applyAlignment="1">
      <alignment horizontal="center" vertical="center" wrapText="1" readingOrder="1"/>
    </xf>
    <xf numFmtId="0" fontId="6" fillId="0" borderId="6" xfId="0" applyFont="1" applyFill="1" applyBorder="1" applyAlignment="1">
      <alignment horizontal="center" vertical="center" wrapText="1" readingOrder="1"/>
    </xf>
    <xf numFmtId="0" fontId="6" fillId="0" borderId="43" xfId="0" applyFont="1" applyFill="1" applyBorder="1" applyAlignment="1">
      <alignment horizontal="center" vertical="center" shrinkToFit="1"/>
    </xf>
    <xf numFmtId="0" fontId="6" fillId="0" borderId="44" xfId="0" applyFont="1" applyFill="1" applyBorder="1" applyAlignment="1">
      <alignment horizontal="center" vertical="center" shrinkToFit="1"/>
    </xf>
    <xf numFmtId="0" fontId="7" fillId="0" borderId="13" xfId="0" applyFont="1" applyFill="1" applyBorder="1" applyAlignment="1">
      <alignment horizontal="center" vertical="center" wrapText="1" readingOrder="1"/>
    </xf>
    <xf numFmtId="0" fontId="7" fillId="0" borderId="14" xfId="0" applyFont="1" applyFill="1" applyBorder="1" applyAlignment="1">
      <alignment horizontal="center" vertical="center" wrapText="1" readingOrder="1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 readingOrder="1"/>
    </xf>
    <xf numFmtId="0" fontId="6" fillId="0" borderId="17" xfId="0" applyFont="1" applyFill="1" applyBorder="1" applyAlignment="1">
      <alignment horizontal="center" vertical="center" wrapText="1" readingOrder="1"/>
    </xf>
    <xf numFmtId="0" fontId="6" fillId="0" borderId="17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41" fontId="6" fillId="5" borderId="57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27DB-63D1-4195-AE90-0B0E10BB5C43}">
  <sheetPr>
    <tabColor rgb="FFFF0000"/>
    <pageSetUpPr fitToPage="1"/>
  </sheetPr>
  <dimension ref="A1:V88"/>
  <sheetViews>
    <sheetView tabSelected="1" zoomScale="70" zoomScaleNormal="70" workbookViewId="0">
      <selection sqref="A1:F1"/>
    </sheetView>
  </sheetViews>
  <sheetFormatPr defaultRowHeight="17.399999999999999" x14ac:dyDescent="0.4"/>
  <cols>
    <col min="1" max="1" width="8.69921875" customWidth="1"/>
    <col min="2" max="2" width="13" bestFit="1" customWidth="1"/>
    <col min="3" max="3" width="14.8984375" customWidth="1"/>
    <col min="4" max="4" width="17.8984375" customWidth="1"/>
    <col min="5" max="5" width="41.5" customWidth="1"/>
    <col min="6" max="6" width="12.69921875" bestFit="1" customWidth="1"/>
    <col min="7" max="10" width="13.69921875" customWidth="1"/>
    <col min="11" max="11" width="14.69921875" customWidth="1"/>
    <col min="12" max="12" width="13.69921875" customWidth="1"/>
    <col min="13" max="13" width="13" customWidth="1"/>
    <col min="14" max="14" width="13.69921875" customWidth="1"/>
    <col min="15" max="15" width="13" bestFit="1" customWidth="1"/>
    <col min="16" max="16" width="12.3984375" customWidth="1"/>
    <col min="17" max="17" width="12" customWidth="1"/>
    <col min="18" max="18" width="15.5" bestFit="1" customWidth="1"/>
  </cols>
  <sheetData>
    <row r="1" spans="1:18" ht="30" x14ac:dyDescent="0.4">
      <c r="A1" s="261" t="s">
        <v>115</v>
      </c>
      <c r="B1" s="261"/>
      <c r="C1" s="261"/>
      <c r="D1" s="261"/>
      <c r="E1" s="261"/>
      <c r="F1" s="261"/>
      <c r="R1" s="1" t="s">
        <v>149</v>
      </c>
    </row>
    <row r="2" spans="1:18" ht="17.25" customHeight="1" x14ac:dyDescent="0.4">
      <c r="A2" s="223"/>
      <c r="B2" s="223"/>
      <c r="C2" s="223"/>
      <c r="D2" s="223"/>
      <c r="E2" s="223"/>
      <c r="F2" s="223"/>
      <c r="R2" s="3" t="s">
        <v>0</v>
      </c>
    </row>
    <row r="3" spans="1:18" x14ac:dyDescent="0.4">
      <c r="A3" s="262" t="s">
        <v>1</v>
      </c>
      <c r="B3" s="262"/>
      <c r="C3" s="262"/>
      <c r="D3" s="262"/>
      <c r="E3" s="4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</row>
    <row r="4" spans="1:18" x14ac:dyDescent="0.4">
      <c r="A4" s="263" t="s">
        <v>16</v>
      </c>
      <c r="B4" s="264"/>
      <c r="C4" s="264"/>
      <c r="D4" s="264"/>
      <c r="E4" s="265"/>
      <c r="F4" s="6" t="s">
        <v>116</v>
      </c>
      <c r="G4" s="6" t="s">
        <v>117</v>
      </c>
      <c r="H4" s="6" t="s">
        <v>118</v>
      </c>
      <c r="I4" s="6"/>
      <c r="J4" s="6" t="s">
        <v>17</v>
      </c>
      <c r="K4" s="6" t="s">
        <v>119</v>
      </c>
      <c r="L4" s="6" t="s">
        <v>18</v>
      </c>
      <c r="M4" s="6" t="s">
        <v>18</v>
      </c>
      <c r="N4" s="6" t="s">
        <v>120</v>
      </c>
      <c r="O4" s="6"/>
      <c r="P4" s="6"/>
      <c r="Q4" s="6" t="s">
        <v>121</v>
      </c>
      <c r="R4" s="6"/>
    </row>
    <row r="5" spans="1:18" x14ac:dyDescent="0.4">
      <c r="A5" s="266" t="s">
        <v>1</v>
      </c>
      <c r="B5" s="254" t="s">
        <v>19</v>
      </c>
      <c r="C5" s="254" t="s">
        <v>20</v>
      </c>
      <c r="D5" s="224" t="s">
        <v>21</v>
      </c>
      <c r="E5" s="8" t="s">
        <v>22</v>
      </c>
      <c r="F5" s="9">
        <v>0</v>
      </c>
      <c r="G5" s="9">
        <v>0</v>
      </c>
      <c r="H5" s="9">
        <v>470000</v>
      </c>
      <c r="I5" s="9">
        <v>450000</v>
      </c>
      <c r="J5" s="10">
        <v>50000</v>
      </c>
      <c r="K5" s="9">
        <v>0</v>
      </c>
      <c r="L5" s="9">
        <v>0</v>
      </c>
      <c r="M5" s="10">
        <v>80000</v>
      </c>
      <c r="N5" s="10">
        <v>50000</v>
      </c>
      <c r="O5" s="9">
        <v>0</v>
      </c>
      <c r="P5" s="9">
        <v>0</v>
      </c>
      <c r="Q5" s="9">
        <v>0</v>
      </c>
      <c r="R5" s="11">
        <f>SUM(F5:Q5)</f>
        <v>1100000</v>
      </c>
    </row>
    <row r="6" spans="1:18" x14ac:dyDescent="0.4">
      <c r="A6" s="266"/>
      <c r="B6" s="255"/>
      <c r="C6" s="255"/>
      <c r="D6" s="231" t="s">
        <v>23</v>
      </c>
      <c r="E6" s="231" t="s">
        <v>24</v>
      </c>
      <c r="F6" s="9">
        <v>0</v>
      </c>
      <c r="G6" s="9">
        <v>300000</v>
      </c>
      <c r="H6" s="9">
        <v>330000</v>
      </c>
      <c r="I6" s="9">
        <v>350000</v>
      </c>
      <c r="J6" s="9">
        <v>250000</v>
      </c>
      <c r="K6" s="9">
        <v>0</v>
      </c>
      <c r="L6" s="9">
        <v>0</v>
      </c>
      <c r="M6" s="9">
        <v>210000</v>
      </c>
      <c r="N6" s="9">
        <v>160000</v>
      </c>
      <c r="O6" s="9"/>
      <c r="P6" s="9">
        <v>0</v>
      </c>
      <c r="Q6" s="9">
        <v>0</v>
      </c>
      <c r="R6" s="9">
        <f>SUM(F6:Q6)</f>
        <v>1600000</v>
      </c>
    </row>
    <row r="7" spans="1:18" x14ac:dyDescent="0.4">
      <c r="A7" s="266"/>
      <c r="B7" s="256" t="s">
        <v>25</v>
      </c>
      <c r="C7" s="257"/>
      <c r="D7" s="257"/>
      <c r="E7" s="258"/>
      <c r="F7" s="13">
        <f t="shared" ref="F7:G7" si="0">F6</f>
        <v>0</v>
      </c>
      <c r="G7" s="13">
        <f t="shared" si="0"/>
        <v>300000</v>
      </c>
      <c r="H7" s="13">
        <f t="shared" ref="H7:Q7" si="1">SUM(H5:H6)</f>
        <v>800000</v>
      </c>
      <c r="I7" s="13">
        <f t="shared" si="1"/>
        <v>800000</v>
      </c>
      <c r="J7" s="13">
        <f t="shared" si="1"/>
        <v>300000</v>
      </c>
      <c r="K7" s="13">
        <f t="shared" si="1"/>
        <v>0</v>
      </c>
      <c r="L7" s="13">
        <f t="shared" si="1"/>
        <v>0</v>
      </c>
      <c r="M7" s="13">
        <f t="shared" si="1"/>
        <v>290000</v>
      </c>
      <c r="N7" s="13">
        <f t="shared" si="1"/>
        <v>210000</v>
      </c>
      <c r="O7" s="13">
        <f t="shared" si="1"/>
        <v>0</v>
      </c>
      <c r="P7" s="13">
        <f t="shared" si="1"/>
        <v>0</v>
      </c>
      <c r="Q7" s="13">
        <f t="shared" si="1"/>
        <v>0</v>
      </c>
      <c r="R7" s="13">
        <f>SUM(F7:Q7)</f>
        <v>2700000</v>
      </c>
    </row>
    <row r="8" spans="1:18" x14ac:dyDescent="0.4">
      <c r="A8" s="266"/>
      <c r="B8" s="254" t="s">
        <v>26</v>
      </c>
      <c r="C8" s="268" t="s">
        <v>27</v>
      </c>
      <c r="D8" s="238" t="s">
        <v>28</v>
      </c>
      <c r="E8" s="231" t="s">
        <v>29</v>
      </c>
      <c r="F8" s="9">
        <v>0</v>
      </c>
      <c r="G8" s="9">
        <v>12000</v>
      </c>
      <c r="H8" s="9">
        <v>20000</v>
      </c>
      <c r="I8" s="9">
        <v>18000</v>
      </c>
      <c r="J8" s="9">
        <v>18000</v>
      </c>
      <c r="K8" s="9">
        <v>0</v>
      </c>
      <c r="L8" s="9">
        <v>0</v>
      </c>
      <c r="M8" s="9">
        <v>35000</v>
      </c>
      <c r="N8" s="9">
        <v>30000</v>
      </c>
      <c r="O8" s="9"/>
      <c r="P8" s="9">
        <v>0</v>
      </c>
      <c r="Q8" s="9">
        <v>0</v>
      </c>
      <c r="R8" s="9">
        <f>SUM(F8:Q8)</f>
        <v>133000</v>
      </c>
    </row>
    <row r="9" spans="1:18" x14ac:dyDescent="0.4">
      <c r="A9" s="266"/>
      <c r="B9" s="254"/>
      <c r="C9" s="268"/>
      <c r="D9" s="242"/>
      <c r="E9" s="231" t="s">
        <v>124</v>
      </c>
      <c r="F9" s="9">
        <v>0</v>
      </c>
      <c r="G9" s="9">
        <v>6110</v>
      </c>
      <c r="H9" s="9">
        <v>15000</v>
      </c>
      <c r="I9" s="9">
        <v>10000</v>
      </c>
      <c r="J9" s="9">
        <v>15000</v>
      </c>
      <c r="K9" s="9">
        <v>0</v>
      </c>
      <c r="L9" s="9">
        <v>0</v>
      </c>
      <c r="M9" s="9">
        <v>5000</v>
      </c>
      <c r="N9" s="9">
        <v>7040</v>
      </c>
      <c r="O9" s="9"/>
      <c r="P9" s="9">
        <v>0</v>
      </c>
      <c r="Q9" s="9">
        <v>0</v>
      </c>
      <c r="R9" s="9">
        <f t="shared" ref="R9:R20" si="2">SUM(F9:Q9)</f>
        <v>58150</v>
      </c>
    </row>
    <row r="10" spans="1:18" x14ac:dyDescent="0.4">
      <c r="A10" s="266"/>
      <c r="B10" s="254"/>
      <c r="C10" s="268"/>
      <c r="D10" s="239"/>
      <c r="E10" s="231" t="s">
        <v>30</v>
      </c>
      <c r="F10" s="9">
        <v>0</v>
      </c>
      <c r="G10" s="9">
        <v>10000</v>
      </c>
      <c r="H10" s="9">
        <v>8000</v>
      </c>
      <c r="I10" s="9">
        <v>0</v>
      </c>
      <c r="J10" s="9">
        <v>10000</v>
      </c>
      <c r="K10" s="9">
        <v>0</v>
      </c>
      <c r="L10" s="9">
        <v>0</v>
      </c>
      <c r="M10" s="9">
        <v>33038</v>
      </c>
      <c r="N10" s="9">
        <v>20979</v>
      </c>
      <c r="O10" s="9"/>
      <c r="P10" s="9">
        <v>0</v>
      </c>
      <c r="Q10" s="9">
        <v>0</v>
      </c>
      <c r="R10" s="9">
        <f t="shared" si="2"/>
        <v>82017</v>
      </c>
    </row>
    <row r="11" spans="1:18" x14ac:dyDescent="0.4">
      <c r="A11" s="266"/>
      <c r="B11" s="254"/>
      <c r="C11" s="268"/>
      <c r="D11" s="231" t="s">
        <v>31</v>
      </c>
      <c r="E11" s="231" t="s">
        <v>32</v>
      </c>
      <c r="F11" s="9">
        <v>0</v>
      </c>
      <c r="G11" s="9">
        <v>7000</v>
      </c>
      <c r="H11" s="9">
        <v>10000</v>
      </c>
      <c r="I11" s="9">
        <v>10000</v>
      </c>
      <c r="J11" s="9">
        <v>8890</v>
      </c>
      <c r="K11" s="9">
        <v>0</v>
      </c>
      <c r="L11" s="9">
        <v>0</v>
      </c>
      <c r="M11" s="9">
        <v>0</v>
      </c>
      <c r="N11" s="9">
        <v>0</v>
      </c>
      <c r="O11" s="9"/>
      <c r="P11" s="9">
        <v>0</v>
      </c>
      <c r="Q11" s="9">
        <v>0</v>
      </c>
      <c r="R11" s="9">
        <f t="shared" si="2"/>
        <v>35890</v>
      </c>
    </row>
    <row r="12" spans="1:18" x14ac:dyDescent="0.4">
      <c r="A12" s="266"/>
      <c r="B12" s="254"/>
      <c r="C12" s="268" t="s">
        <v>33</v>
      </c>
      <c r="D12" s="226" t="s">
        <v>34</v>
      </c>
      <c r="E12" s="231" t="s">
        <v>35</v>
      </c>
      <c r="F12" s="9">
        <v>0</v>
      </c>
      <c r="G12" s="9">
        <v>10000</v>
      </c>
      <c r="H12" s="15">
        <v>15000</v>
      </c>
      <c r="I12" s="15">
        <v>15000</v>
      </c>
      <c r="J12" s="15">
        <v>15000</v>
      </c>
      <c r="K12" s="9">
        <v>0</v>
      </c>
      <c r="L12" s="9">
        <v>0</v>
      </c>
      <c r="M12" s="15">
        <v>11302</v>
      </c>
      <c r="N12" s="15">
        <v>8991</v>
      </c>
      <c r="O12" s="15"/>
      <c r="P12" s="9">
        <v>0</v>
      </c>
      <c r="Q12" s="9">
        <v>0</v>
      </c>
      <c r="R12" s="9">
        <f t="shared" si="2"/>
        <v>75293</v>
      </c>
    </row>
    <row r="13" spans="1:18" x14ac:dyDescent="0.4">
      <c r="A13" s="266"/>
      <c r="B13" s="254"/>
      <c r="C13" s="268"/>
      <c r="D13" s="231" t="s">
        <v>36</v>
      </c>
      <c r="E13" s="225" t="s">
        <v>125</v>
      </c>
      <c r="F13" s="9">
        <v>0</v>
      </c>
      <c r="G13" s="18">
        <v>3000</v>
      </c>
      <c r="H13" s="9">
        <v>5000</v>
      </c>
      <c r="I13" s="9">
        <v>5000</v>
      </c>
      <c r="J13" s="9">
        <v>8000</v>
      </c>
      <c r="K13" s="9">
        <v>0</v>
      </c>
      <c r="L13" s="9">
        <v>0</v>
      </c>
      <c r="M13" s="9">
        <v>5000</v>
      </c>
      <c r="N13" s="9">
        <v>5000</v>
      </c>
      <c r="O13" s="9"/>
      <c r="P13" s="9">
        <v>0</v>
      </c>
      <c r="Q13" s="9">
        <v>0</v>
      </c>
      <c r="R13" s="9">
        <f t="shared" si="2"/>
        <v>31000</v>
      </c>
    </row>
    <row r="14" spans="1:18" x14ac:dyDescent="0.4">
      <c r="A14" s="266"/>
      <c r="B14" s="254"/>
      <c r="C14" s="268"/>
      <c r="D14" s="231" t="s">
        <v>36</v>
      </c>
      <c r="E14" s="225" t="s">
        <v>126</v>
      </c>
      <c r="F14" s="9">
        <v>0</v>
      </c>
      <c r="G14" s="18">
        <v>3000</v>
      </c>
      <c r="H14" s="9">
        <v>5000</v>
      </c>
      <c r="I14" s="9">
        <v>5400</v>
      </c>
      <c r="J14" s="9">
        <v>5000</v>
      </c>
      <c r="K14" s="9">
        <v>0</v>
      </c>
      <c r="L14" s="9">
        <v>0</v>
      </c>
      <c r="M14" s="9">
        <v>15000</v>
      </c>
      <c r="N14" s="9">
        <v>10000</v>
      </c>
      <c r="O14" s="9"/>
      <c r="P14" s="9">
        <v>0</v>
      </c>
      <c r="Q14" s="9">
        <v>0</v>
      </c>
      <c r="R14" s="9">
        <f t="shared" si="2"/>
        <v>43400</v>
      </c>
    </row>
    <row r="15" spans="1:18" x14ac:dyDescent="0.4">
      <c r="A15" s="266"/>
      <c r="B15" s="254"/>
      <c r="C15" s="268"/>
      <c r="D15" s="227" t="s">
        <v>37</v>
      </c>
      <c r="E15" s="231" t="s">
        <v>38</v>
      </c>
      <c r="F15" s="9">
        <v>0</v>
      </c>
      <c r="G15" s="9">
        <v>3000</v>
      </c>
      <c r="H15" s="9">
        <v>3000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/>
      <c r="P15" s="9">
        <v>0</v>
      </c>
      <c r="Q15" s="9">
        <v>0</v>
      </c>
      <c r="R15" s="9">
        <f t="shared" si="2"/>
        <v>6000</v>
      </c>
    </row>
    <row r="16" spans="1:18" x14ac:dyDescent="0.4">
      <c r="A16" s="266"/>
      <c r="B16" s="254"/>
      <c r="C16" s="268"/>
      <c r="D16" s="231" t="s">
        <v>39</v>
      </c>
      <c r="E16" s="231" t="s">
        <v>127</v>
      </c>
      <c r="F16" s="9">
        <v>0</v>
      </c>
      <c r="G16" s="9">
        <v>0</v>
      </c>
      <c r="H16" s="9">
        <v>5000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f t="shared" si="2"/>
        <v>5000</v>
      </c>
    </row>
    <row r="17" spans="1:18" x14ac:dyDescent="0.4">
      <c r="A17" s="266"/>
      <c r="B17" s="254"/>
      <c r="C17" s="253" t="s">
        <v>40</v>
      </c>
      <c r="D17" s="228" t="s">
        <v>34</v>
      </c>
      <c r="E17" s="231" t="s">
        <v>128</v>
      </c>
      <c r="F17" s="9">
        <v>0</v>
      </c>
      <c r="G17" s="9">
        <v>2473.3000000000002</v>
      </c>
      <c r="H17" s="9">
        <v>5476.6</v>
      </c>
      <c r="I17" s="9">
        <v>5300</v>
      </c>
      <c r="J17" s="9">
        <v>0</v>
      </c>
      <c r="K17" s="9">
        <v>0</v>
      </c>
      <c r="L17" s="9">
        <v>0</v>
      </c>
      <c r="M17" s="9">
        <v>5470</v>
      </c>
      <c r="N17" s="9">
        <v>5300</v>
      </c>
      <c r="O17" s="9">
        <v>0</v>
      </c>
      <c r="P17" s="9">
        <v>0</v>
      </c>
      <c r="Q17" s="9">
        <v>0</v>
      </c>
      <c r="R17" s="9">
        <f t="shared" si="2"/>
        <v>24019.9</v>
      </c>
    </row>
    <row r="18" spans="1:18" x14ac:dyDescent="0.4">
      <c r="A18" s="266"/>
      <c r="B18" s="254"/>
      <c r="C18" s="254"/>
      <c r="D18" s="228" t="s">
        <v>34</v>
      </c>
      <c r="E18" s="231" t="s">
        <v>129</v>
      </c>
      <c r="F18" s="9">
        <v>0</v>
      </c>
      <c r="G18" s="9">
        <v>3686.6</v>
      </c>
      <c r="H18" s="9">
        <v>8163.3</v>
      </c>
      <c r="I18" s="9">
        <v>10500</v>
      </c>
      <c r="J18" s="9">
        <v>10850</v>
      </c>
      <c r="K18" s="9">
        <v>0</v>
      </c>
      <c r="L18" s="9">
        <v>0</v>
      </c>
      <c r="M18" s="9">
        <v>10850</v>
      </c>
      <c r="N18" s="9">
        <v>10500</v>
      </c>
      <c r="O18" s="9">
        <v>0</v>
      </c>
      <c r="P18" s="9">
        <v>0</v>
      </c>
      <c r="Q18" s="9">
        <v>0</v>
      </c>
      <c r="R18" s="9">
        <f t="shared" si="2"/>
        <v>54549.9</v>
      </c>
    </row>
    <row r="19" spans="1:18" x14ac:dyDescent="0.4">
      <c r="A19" s="266"/>
      <c r="B19" s="254"/>
      <c r="C19" s="254"/>
      <c r="D19" s="228" t="s">
        <v>34</v>
      </c>
      <c r="E19" s="231" t="s">
        <v>41</v>
      </c>
      <c r="F19" s="9">
        <v>0</v>
      </c>
      <c r="G19" s="9">
        <v>0</v>
      </c>
      <c r="H19" s="9">
        <v>0</v>
      </c>
      <c r="I19" s="9">
        <v>0</v>
      </c>
      <c r="J19" s="9">
        <v>1030</v>
      </c>
      <c r="K19" s="9">
        <v>1000</v>
      </c>
      <c r="L19" s="9">
        <v>510</v>
      </c>
      <c r="M19" s="9"/>
      <c r="N19" s="9"/>
      <c r="O19" s="9">
        <v>1030</v>
      </c>
      <c r="P19" s="9">
        <v>1000</v>
      </c>
      <c r="Q19" s="9">
        <v>1030</v>
      </c>
      <c r="R19" s="9">
        <f t="shared" si="2"/>
        <v>5600</v>
      </c>
    </row>
    <row r="20" spans="1:18" x14ac:dyDescent="0.4">
      <c r="A20" s="266"/>
      <c r="B20" s="254"/>
      <c r="C20" s="254"/>
      <c r="D20" s="228" t="s">
        <v>34</v>
      </c>
      <c r="E20" s="231" t="s">
        <v>130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6000</v>
      </c>
      <c r="L20" s="9">
        <v>3720</v>
      </c>
      <c r="M20" s="9">
        <v>3000</v>
      </c>
      <c r="N20" s="9"/>
      <c r="O20" s="9">
        <v>5160</v>
      </c>
      <c r="P20" s="9">
        <v>5000</v>
      </c>
      <c r="Q20" s="9">
        <v>6200</v>
      </c>
      <c r="R20" s="9">
        <f t="shared" si="2"/>
        <v>29080</v>
      </c>
    </row>
    <row r="21" spans="1:18" x14ac:dyDescent="0.4">
      <c r="A21" s="266"/>
      <c r="B21" s="256" t="s">
        <v>42</v>
      </c>
      <c r="C21" s="257"/>
      <c r="D21" s="257"/>
      <c r="E21" s="258"/>
      <c r="F21" s="13">
        <f t="shared" ref="F21:R21" si="3">SUM(F8:F20)</f>
        <v>0</v>
      </c>
      <c r="G21" s="13">
        <f t="shared" si="3"/>
        <v>60269.9</v>
      </c>
      <c r="H21" s="13">
        <f t="shared" si="3"/>
        <v>99639.900000000009</v>
      </c>
      <c r="I21" s="13">
        <f t="shared" si="3"/>
        <v>79200</v>
      </c>
      <c r="J21" s="13">
        <f>SUM(J8:J20)</f>
        <v>91770</v>
      </c>
      <c r="K21" s="13">
        <f t="shared" si="3"/>
        <v>7000</v>
      </c>
      <c r="L21" s="13">
        <f t="shared" si="3"/>
        <v>4230</v>
      </c>
      <c r="M21" s="13">
        <f t="shared" si="3"/>
        <v>123660</v>
      </c>
      <c r="N21" s="13">
        <f t="shared" si="3"/>
        <v>97810</v>
      </c>
      <c r="O21" s="13">
        <f t="shared" si="3"/>
        <v>6190</v>
      </c>
      <c r="P21" s="13">
        <f t="shared" si="3"/>
        <v>6000</v>
      </c>
      <c r="Q21" s="13">
        <f t="shared" si="3"/>
        <v>7230</v>
      </c>
      <c r="R21" s="13">
        <f t="shared" si="3"/>
        <v>582999.80000000005</v>
      </c>
    </row>
    <row r="22" spans="1:18" hidden="1" x14ac:dyDescent="0.4">
      <c r="A22" s="266"/>
      <c r="B22" s="230" t="s">
        <v>43</v>
      </c>
      <c r="C22" s="230" t="s">
        <v>20</v>
      </c>
      <c r="D22" s="229" t="s">
        <v>43</v>
      </c>
      <c r="E22" s="22" t="s">
        <v>44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" si="4">SUM(F22:Q22)</f>
        <v>0</v>
      </c>
    </row>
    <row r="23" spans="1:18" hidden="1" x14ac:dyDescent="0.4">
      <c r="A23" s="266"/>
      <c r="B23" s="256" t="s">
        <v>45</v>
      </c>
      <c r="C23" s="257"/>
      <c r="D23" s="257"/>
      <c r="E23" s="258"/>
      <c r="F23" s="13">
        <f t="shared" ref="F23:R23" si="5">SUM(F22:F22)</f>
        <v>0</v>
      </c>
      <c r="G23" s="13">
        <f t="shared" si="5"/>
        <v>0</v>
      </c>
      <c r="H23" s="13">
        <f t="shared" si="5"/>
        <v>0</v>
      </c>
      <c r="I23" s="13">
        <f t="shared" si="5"/>
        <v>0</v>
      </c>
      <c r="J23" s="13">
        <f t="shared" si="5"/>
        <v>0</v>
      </c>
      <c r="K23" s="13">
        <f t="shared" si="5"/>
        <v>0</v>
      </c>
      <c r="L23" s="13">
        <f t="shared" si="5"/>
        <v>0</v>
      </c>
      <c r="M23" s="13">
        <f t="shared" si="5"/>
        <v>0</v>
      </c>
      <c r="N23" s="13">
        <f t="shared" si="5"/>
        <v>0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</row>
    <row r="24" spans="1:18" x14ac:dyDescent="0.4">
      <c r="A24" s="266"/>
      <c r="B24" s="269" t="s">
        <v>46</v>
      </c>
      <c r="C24" s="253" t="s">
        <v>20</v>
      </c>
      <c r="D24" s="253" t="s">
        <v>47</v>
      </c>
      <c r="E24" s="135" t="s">
        <v>132</v>
      </c>
      <c r="F24" s="9">
        <v>0</v>
      </c>
      <c r="G24" s="9">
        <v>0</v>
      </c>
      <c r="H24" s="9">
        <v>27800</v>
      </c>
      <c r="I24" s="9">
        <v>30800</v>
      </c>
      <c r="J24" s="9">
        <v>30800</v>
      </c>
      <c r="K24" s="9">
        <v>0</v>
      </c>
      <c r="L24" s="9">
        <v>0</v>
      </c>
      <c r="M24" s="9">
        <v>32200</v>
      </c>
      <c r="N24" s="9">
        <v>32200</v>
      </c>
      <c r="O24" s="9">
        <v>1100</v>
      </c>
      <c r="P24" s="9">
        <v>0</v>
      </c>
      <c r="Q24" s="138">
        <v>207000</v>
      </c>
      <c r="R24" s="9">
        <f>SUM(F24:Q24)</f>
        <v>361900</v>
      </c>
    </row>
    <row r="25" spans="1:18" x14ac:dyDescent="0.4">
      <c r="A25" s="266"/>
      <c r="B25" s="270"/>
      <c r="C25" s="254"/>
      <c r="D25" s="254"/>
      <c r="E25" s="135" t="s">
        <v>134</v>
      </c>
      <c r="F25" s="9"/>
      <c r="G25" s="9"/>
      <c r="H25" s="9">
        <v>4600</v>
      </c>
      <c r="I25" s="9">
        <v>4600</v>
      </c>
      <c r="J25" s="9">
        <v>4600</v>
      </c>
      <c r="K25" s="9">
        <v>4600</v>
      </c>
      <c r="L25" s="9">
        <v>4600</v>
      </c>
      <c r="M25" s="9">
        <v>4600</v>
      </c>
      <c r="N25" s="9">
        <v>4600</v>
      </c>
      <c r="O25" s="9">
        <v>4600</v>
      </c>
      <c r="P25" s="9"/>
      <c r="Q25" s="9"/>
      <c r="R25" s="9">
        <f t="shared" ref="R25:R29" si="6">SUM(F25:Q25)</f>
        <v>36800</v>
      </c>
    </row>
    <row r="26" spans="1:18" x14ac:dyDescent="0.4">
      <c r="A26" s="266"/>
      <c r="B26" s="270"/>
      <c r="C26" s="254"/>
      <c r="D26" s="254"/>
      <c r="E26" s="135" t="s">
        <v>133</v>
      </c>
      <c r="F26" s="9"/>
      <c r="G26" s="9"/>
      <c r="H26" s="9">
        <v>18000</v>
      </c>
      <c r="I26" s="9">
        <v>18000</v>
      </c>
      <c r="J26" s="9">
        <v>18000</v>
      </c>
      <c r="K26" s="9"/>
      <c r="L26" s="9"/>
      <c r="M26" s="9">
        <v>18000</v>
      </c>
      <c r="N26" s="9">
        <v>18000</v>
      </c>
      <c r="O26" s="9"/>
      <c r="P26" s="9"/>
      <c r="Q26" s="9"/>
      <c r="R26" s="9">
        <f t="shared" si="6"/>
        <v>90000</v>
      </c>
    </row>
    <row r="27" spans="1:18" x14ac:dyDescent="0.4">
      <c r="A27" s="266"/>
      <c r="B27" s="270"/>
      <c r="C27" s="255"/>
      <c r="D27" s="255"/>
      <c r="E27" s="22" t="s">
        <v>131</v>
      </c>
      <c r="F27" s="9"/>
      <c r="G27" s="9"/>
      <c r="H27" s="9">
        <v>0</v>
      </c>
      <c r="I27" s="9">
        <v>91100</v>
      </c>
      <c r="J27" s="9"/>
      <c r="K27" s="9"/>
      <c r="L27" s="9"/>
      <c r="M27" s="9"/>
      <c r="N27" s="9"/>
      <c r="O27" s="9"/>
      <c r="P27" s="9"/>
      <c r="Q27" s="138">
        <v>177000</v>
      </c>
      <c r="R27" s="9">
        <f t="shared" si="6"/>
        <v>268100</v>
      </c>
    </row>
    <row r="28" spans="1:18" x14ac:dyDescent="0.4">
      <c r="A28" s="266"/>
      <c r="B28" s="270"/>
      <c r="C28" s="253" t="s">
        <v>48</v>
      </c>
      <c r="D28" s="253" t="s">
        <v>48</v>
      </c>
      <c r="E28" s="22" t="s">
        <v>150</v>
      </c>
      <c r="F28" s="9">
        <v>0</v>
      </c>
      <c r="G28" s="9">
        <v>0</v>
      </c>
      <c r="H28" s="9"/>
      <c r="I28" s="9"/>
      <c r="J28" s="9"/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138">
        <v>183000</v>
      </c>
      <c r="R28" s="9">
        <f t="shared" si="6"/>
        <v>183000</v>
      </c>
    </row>
    <row r="29" spans="1:18" x14ac:dyDescent="0.4">
      <c r="A29" s="266"/>
      <c r="B29" s="270"/>
      <c r="C29" s="255"/>
      <c r="D29" s="255"/>
      <c r="E29" s="22" t="s">
        <v>138</v>
      </c>
      <c r="F29" s="9">
        <v>0</v>
      </c>
      <c r="G29" s="9">
        <v>0</v>
      </c>
      <c r="H29" s="9">
        <v>85000</v>
      </c>
      <c r="I29" s="9"/>
      <c r="J29" s="9"/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f t="shared" si="6"/>
        <v>85000</v>
      </c>
    </row>
    <row r="30" spans="1:18" x14ac:dyDescent="0.4">
      <c r="A30" s="266"/>
      <c r="B30" s="256" t="s">
        <v>49</v>
      </c>
      <c r="C30" s="257"/>
      <c r="D30" s="257"/>
      <c r="E30" s="258"/>
      <c r="F30" s="13">
        <f>SUM(F24:F29)</f>
        <v>0</v>
      </c>
      <c r="G30" s="13">
        <f>SUM(G24:G29)</f>
        <v>0</v>
      </c>
      <c r="H30" s="13">
        <f t="shared" ref="H30:Q30" si="7">SUM(H24:H29)</f>
        <v>135400</v>
      </c>
      <c r="I30" s="13">
        <f t="shared" si="7"/>
        <v>144500</v>
      </c>
      <c r="J30" s="13">
        <f t="shared" si="7"/>
        <v>53400</v>
      </c>
      <c r="K30" s="13">
        <f t="shared" si="7"/>
        <v>4600</v>
      </c>
      <c r="L30" s="13">
        <f t="shared" si="7"/>
        <v>4600</v>
      </c>
      <c r="M30" s="13">
        <f t="shared" si="7"/>
        <v>54800</v>
      </c>
      <c r="N30" s="13">
        <f t="shared" si="7"/>
        <v>54800</v>
      </c>
      <c r="O30" s="13">
        <f t="shared" si="7"/>
        <v>5700</v>
      </c>
      <c r="P30" s="13">
        <f t="shared" si="7"/>
        <v>0</v>
      </c>
      <c r="Q30" s="13">
        <f t="shared" si="7"/>
        <v>567000</v>
      </c>
      <c r="R30" s="13">
        <f>SUM(R24:R29)</f>
        <v>1024800</v>
      </c>
    </row>
    <row r="31" spans="1:18" hidden="1" x14ac:dyDescent="0.4">
      <c r="A31" s="266"/>
      <c r="B31" s="230" t="s">
        <v>50</v>
      </c>
      <c r="C31" s="229" t="s">
        <v>20</v>
      </c>
      <c r="D31" s="229" t="s">
        <v>51</v>
      </c>
      <c r="E31" s="22" t="s">
        <v>52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/>
      <c r="O31" s="9">
        <v>0</v>
      </c>
      <c r="P31" s="9">
        <v>0</v>
      </c>
      <c r="Q31" s="9">
        <v>0</v>
      </c>
      <c r="R31" s="9">
        <f>J31</f>
        <v>0</v>
      </c>
    </row>
    <row r="32" spans="1:18" hidden="1" x14ac:dyDescent="0.4">
      <c r="A32" s="267"/>
      <c r="B32" s="256" t="s">
        <v>53</v>
      </c>
      <c r="C32" s="257"/>
      <c r="D32" s="257"/>
      <c r="E32" s="258"/>
      <c r="F32" s="13">
        <f t="shared" ref="F32:R32" si="8">SUM(F31:F31)</f>
        <v>0</v>
      </c>
      <c r="G32" s="13">
        <f t="shared" si="8"/>
        <v>0</v>
      </c>
      <c r="H32" s="13">
        <f t="shared" si="8"/>
        <v>0</v>
      </c>
      <c r="I32" s="13">
        <f t="shared" si="8"/>
        <v>0</v>
      </c>
      <c r="J32" s="13">
        <f t="shared" si="8"/>
        <v>0</v>
      </c>
      <c r="K32" s="13">
        <f t="shared" si="8"/>
        <v>0</v>
      </c>
      <c r="L32" s="13">
        <f t="shared" si="8"/>
        <v>0</v>
      </c>
      <c r="M32" s="13">
        <f t="shared" si="8"/>
        <v>0</v>
      </c>
      <c r="N32" s="13">
        <f t="shared" si="8"/>
        <v>0</v>
      </c>
      <c r="O32" s="13">
        <f t="shared" si="8"/>
        <v>0</v>
      </c>
      <c r="P32" s="13">
        <f t="shared" si="8"/>
        <v>0</v>
      </c>
      <c r="Q32" s="13">
        <f t="shared" si="8"/>
        <v>0</v>
      </c>
      <c r="R32" s="13">
        <f t="shared" si="8"/>
        <v>0</v>
      </c>
    </row>
    <row r="33" spans="1:22" x14ac:dyDescent="0.4">
      <c r="A33" s="259" t="s">
        <v>54</v>
      </c>
      <c r="B33" s="259"/>
      <c r="C33" s="259"/>
      <c r="D33" s="259"/>
      <c r="E33" s="259"/>
      <c r="F33" s="23">
        <f>F7+F21</f>
        <v>0</v>
      </c>
      <c r="G33" s="23">
        <f>G7+G21</f>
        <v>360269.9</v>
      </c>
      <c r="H33" s="23">
        <f>H7+H21+H30+H32</f>
        <v>1035039.9</v>
      </c>
      <c r="I33" s="23">
        <f>I7+I21+I23+I30+I32</f>
        <v>1023700</v>
      </c>
      <c r="J33" s="23">
        <f>J7+J21+J23+J30+J32</f>
        <v>445170</v>
      </c>
      <c r="K33" s="23">
        <f>K7+K21+K30+K32</f>
        <v>11600</v>
      </c>
      <c r="L33" s="23">
        <f>L7+L21+L30+L32</f>
        <v>8830</v>
      </c>
      <c r="M33" s="23">
        <f>M7+M21+M30+M32</f>
        <v>468460</v>
      </c>
      <c r="N33" s="23">
        <f>N7+N21+N30+N32</f>
        <v>362610</v>
      </c>
      <c r="O33" s="23">
        <f>O7+O21+O30+O32</f>
        <v>11890</v>
      </c>
      <c r="P33" s="23">
        <f t="shared" ref="P33:Q33" si="9">P7+P21+P30+P32</f>
        <v>6000</v>
      </c>
      <c r="Q33" s="23">
        <f t="shared" si="9"/>
        <v>574230</v>
      </c>
      <c r="R33" s="23">
        <f>R7+R21+R23+R30+R32</f>
        <v>4307799.8</v>
      </c>
      <c r="T33" s="34"/>
      <c r="U33" s="34"/>
    </row>
    <row r="34" spans="1:22" x14ac:dyDescent="0.4">
      <c r="A34" s="236" t="s">
        <v>55</v>
      </c>
      <c r="B34" s="238" t="s">
        <v>19</v>
      </c>
      <c r="C34" s="240" t="s">
        <v>55</v>
      </c>
      <c r="D34" s="238" t="s">
        <v>56</v>
      </c>
      <c r="E34" s="231" t="s">
        <v>57</v>
      </c>
      <c r="F34" s="9">
        <v>0</v>
      </c>
      <c r="G34" s="9"/>
      <c r="H34" s="9"/>
      <c r="I34" s="9">
        <v>0</v>
      </c>
      <c r="J34" s="9">
        <v>0</v>
      </c>
      <c r="K34" s="9">
        <v>0</v>
      </c>
      <c r="L34" s="9">
        <v>0</v>
      </c>
      <c r="M34" s="10">
        <v>0</v>
      </c>
      <c r="N34" s="9">
        <v>0</v>
      </c>
      <c r="O34" s="9">
        <v>0</v>
      </c>
      <c r="P34" s="9">
        <v>0</v>
      </c>
      <c r="Q34" s="138">
        <v>380000</v>
      </c>
      <c r="R34" s="9">
        <f t="shared" ref="R34:R37" si="10">SUM(F34:Q34)</f>
        <v>380000</v>
      </c>
    </row>
    <row r="35" spans="1:22" x14ac:dyDescent="0.4">
      <c r="A35" s="237"/>
      <c r="B35" s="242"/>
      <c r="C35" s="241"/>
      <c r="D35" s="239"/>
      <c r="E35" s="231" t="s">
        <v>58</v>
      </c>
      <c r="F35" s="9"/>
      <c r="G35" s="9"/>
      <c r="H35" s="9"/>
      <c r="I35" s="9"/>
      <c r="J35" s="9"/>
      <c r="K35" s="9"/>
      <c r="L35" s="9"/>
      <c r="M35" s="10"/>
      <c r="N35" s="9"/>
      <c r="O35" s="9"/>
      <c r="P35" s="9"/>
      <c r="Q35" s="138">
        <v>33600</v>
      </c>
      <c r="R35" s="9">
        <f t="shared" si="10"/>
        <v>33600</v>
      </c>
    </row>
    <row r="36" spans="1:22" x14ac:dyDescent="0.4">
      <c r="A36" s="237"/>
      <c r="B36" s="239"/>
      <c r="C36" s="241"/>
      <c r="D36" s="228" t="s">
        <v>55</v>
      </c>
      <c r="E36" s="231" t="s">
        <v>59</v>
      </c>
      <c r="F36" s="9">
        <v>0</v>
      </c>
      <c r="G36" s="9">
        <v>0</v>
      </c>
      <c r="H36" s="9">
        <f>15000*1.1765</f>
        <v>17647.5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f>SUM(F36:Q36)</f>
        <v>17647.5</v>
      </c>
      <c r="U36" s="34"/>
    </row>
    <row r="37" spans="1:22" ht="17.399999999999999" hidden="1" customHeight="1" x14ac:dyDescent="0.4">
      <c r="A37" s="237"/>
      <c r="B37" s="238" t="s">
        <v>26</v>
      </c>
      <c r="C37" s="242"/>
      <c r="D37" s="238" t="s">
        <v>60</v>
      </c>
      <c r="E37" s="25" t="s">
        <v>61</v>
      </c>
      <c r="F37" s="9">
        <v>0</v>
      </c>
      <c r="G37" s="9"/>
      <c r="H37" s="9"/>
      <c r="I37" s="9"/>
      <c r="J37" s="9"/>
      <c r="K37" s="9"/>
      <c r="L37" s="9"/>
      <c r="M37" s="9"/>
      <c r="N37" s="9"/>
      <c r="O37" s="9">
        <v>0</v>
      </c>
      <c r="P37" s="9"/>
      <c r="Q37" s="9"/>
      <c r="R37" s="9">
        <f t="shared" si="10"/>
        <v>0</v>
      </c>
    </row>
    <row r="38" spans="1:22" x14ac:dyDescent="0.4">
      <c r="A38" s="237"/>
      <c r="B38" s="242"/>
      <c r="C38" s="242"/>
      <c r="D38" s="242"/>
      <c r="E38" s="25" t="s">
        <v>62</v>
      </c>
      <c r="F38" s="9">
        <v>0</v>
      </c>
      <c r="G38" s="9">
        <f>14110*1.1765</f>
        <v>16600.415000000001</v>
      </c>
      <c r="H38" s="9"/>
      <c r="I38" s="9"/>
      <c r="J38" s="9"/>
      <c r="K38" s="9"/>
      <c r="L38" s="9">
        <v>0</v>
      </c>
      <c r="M38" s="9">
        <v>0</v>
      </c>
      <c r="N38" s="9">
        <v>0</v>
      </c>
      <c r="O38" s="169"/>
      <c r="P38" s="169">
        <f>(3900*1.1765)+130</f>
        <v>4718.3500000000004</v>
      </c>
      <c r="Q38" s="9">
        <v>0</v>
      </c>
      <c r="R38" s="9">
        <f>SUM(F38:Q38)</f>
        <v>21318.764999999999</v>
      </c>
    </row>
    <row r="39" spans="1:22" x14ac:dyDescent="0.4">
      <c r="A39" s="237"/>
      <c r="B39" s="242"/>
      <c r="C39" s="242"/>
      <c r="D39" s="239"/>
      <c r="E39" s="25" t="s">
        <v>122</v>
      </c>
      <c r="F39" s="9"/>
      <c r="G39" s="9"/>
      <c r="H39" s="9"/>
      <c r="I39" s="9"/>
      <c r="J39" s="9"/>
      <c r="K39" s="9"/>
      <c r="L39" s="9"/>
      <c r="M39" s="9"/>
      <c r="N39" s="220"/>
      <c r="O39" s="169"/>
      <c r="P39" s="169"/>
      <c r="Q39" s="9">
        <v>0</v>
      </c>
      <c r="R39" s="9">
        <f t="shared" ref="R39:R52" si="11">SUM(F39:Q39)</f>
        <v>0</v>
      </c>
    </row>
    <row r="40" spans="1:22" ht="17.399999999999999" hidden="1" customHeight="1" x14ac:dyDescent="0.4">
      <c r="A40" s="237"/>
      <c r="B40" s="242"/>
      <c r="C40" s="242"/>
      <c r="D40" s="231" t="s">
        <v>63</v>
      </c>
      <c r="E40" s="25" t="s">
        <v>64</v>
      </c>
      <c r="F40" s="9"/>
      <c r="G40" s="9"/>
      <c r="H40" s="9"/>
      <c r="I40" s="9"/>
      <c r="J40" s="9"/>
      <c r="K40" s="9"/>
      <c r="L40" s="9"/>
      <c r="M40" s="9"/>
      <c r="N40" s="9"/>
      <c r="O40" s="169"/>
      <c r="P40" s="169"/>
      <c r="Q40" s="9">
        <v>0</v>
      </c>
      <c r="R40" s="9">
        <f t="shared" si="11"/>
        <v>0</v>
      </c>
    </row>
    <row r="41" spans="1:22" ht="17.399999999999999" hidden="1" customHeight="1" x14ac:dyDescent="0.4">
      <c r="A41" s="237"/>
      <c r="B41" s="242"/>
      <c r="C41" s="242"/>
      <c r="D41" s="231" t="s">
        <v>65</v>
      </c>
      <c r="E41" s="25" t="s">
        <v>66</v>
      </c>
      <c r="F41" s="9"/>
      <c r="G41" s="9"/>
      <c r="H41" s="9"/>
      <c r="I41" s="9"/>
      <c r="J41" s="9"/>
      <c r="K41" s="9"/>
      <c r="L41" s="9"/>
      <c r="M41" s="9"/>
      <c r="N41" s="9"/>
      <c r="O41" s="222"/>
      <c r="P41" s="169"/>
      <c r="Q41" s="9">
        <v>0</v>
      </c>
      <c r="R41" s="9">
        <f t="shared" si="11"/>
        <v>0</v>
      </c>
    </row>
    <row r="42" spans="1:22" x14ac:dyDescent="0.4">
      <c r="A42" s="237"/>
      <c r="B42" s="242"/>
      <c r="C42" s="242"/>
      <c r="D42" s="231" t="s">
        <v>65</v>
      </c>
      <c r="E42" s="25" t="s">
        <v>67</v>
      </c>
      <c r="F42" s="9">
        <v>0</v>
      </c>
      <c r="G42" s="9">
        <f>1550*1.1765</f>
        <v>1823.575</v>
      </c>
      <c r="H42" s="9"/>
      <c r="I42" s="9"/>
      <c r="J42" s="9">
        <v>2823.6</v>
      </c>
      <c r="K42" s="9"/>
      <c r="L42" s="9"/>
      <c r="M42" s="9">
        <v>2823.6</v>
      </c>
      <c r="N42" s="9"/>
      <c r="O42" s="169">
        <v>0</v>
      </c>
      <c r="P42" s="169"/>
      <c r="Q42" s="9">
        <v>0</v>
      </c>
      <c r="R42" s="9">
        <f t="shared" si="11"/>
        <v>7470.7749999999996</v>
      </c>
    </row>
    <row r="43" spans="1:22" x14ac:dyDescent="0.4">
      <c r="A43" s="237"/>
      <c r="B43" s="242"/>
      <c r="C43" s="242"/>
      <c r="D43" s="238" t="s">
        <v>55</v>
      </c>
      <c r="E43" s="25" t="s">
        <v>137</v>
      </c>
      <c r="F43" s="9">
        <v>0</v>
      </c>
      <c r="G43" s="9">
        <v>0</v>
      </c>
      <c r="H43" s="9">
        <f>47000*1.1765</f>
        <v>55295.500000000007</v>
      </c>
      <c r="I43" s="9"/>
      <c r="J43" s="9"/>
      <c r="K43" s="9"/>
      <c r="L43" s="9"/>
      <c r="M43" s="9"/>
      <c r="N43" s="9"/>
      <c r="O43" s="169">
        <f>1000*1.1765</f>
        <v>1176.5</v>
      </c>
      <c r="P43" s="169">
        <v>51530.7</v>
      </c>
      <c r="Q43" s="138">
        <v>4400</v>
      </c>
      <c r="R43" s="9">
        <f t="shared" si="11"/>
        <v>112402.70000000001</v>
      </c>
      <c r="T43" s="154"/>
      <c r="U43" s="34"/>
      <c r="V43" s="34"/>
    </row>
    <row r="44" spans="1:22" hidden="1" x14ac:dyDescent="0.4">
      <c r="A44" s="237"/>
      <c r="B44" s="242"/>
      <c r="C44" s="242"/>
      <c r="D44" s="239"/>
      <c r="E44" s="25" t="s">
        <v>122</v>
      </c>
      <c r="F44" s="9"/>
      <c r="G44" s="9"/>
      <c r="H44" s="9"/>
      <c r="I44" s="9"/>
      <c r="J44" s="9"/>
      <c r="K44" s="9"/>
      <c r="L44" s="9"/>
      <c r="M44" s="9"/>
      <c r="N44" s="9"/>
      <c r="O44" s="169"/>
      <c r="P44" s="169"/>
      <c r="Q44" s="9"/>
      <c r="R44" s="9">
        <f t="shared" si="11"/>
        <v>0</v>
      </c>
    </row>
    <row r="45" spans="1:22" x14ac:dyDescent="0.4">
      <c r="A45" s="237"/>
      <c r="B45" s="239"/>
      <c r="C45" s="242"/>
      <c r="D45" s="231" t="s">
        <v>68</v>
      </c>
      <c r="E45" s="25" t="s">
        <v>69</v>
      </c>
      <c r="F45" s="9">
        <v>0</v>
      </c>
      <c r="G45" s="169">
        <v>1172</v>
      </c>
      <c r="H45" s="9">
        <f>(2000*1.1765)+220</f>
        <v>2573</v>
      </c>
      <c r="I45" s="9">
        <v>0</v>
      </c>
      <c r="J45" s="9"/>
      <c r="K45" s="9">
        <v>0</v>
      </c>
      <c r="L45" s="9">
        <v>0</v>
      </c>
      <c r="M45" s="9">
        <v>0</v>
      </c>
      <c r="N45" s="9">
        <v>0</v>
      </c>
      <c r="O45" s="169">
        <v>871.7</v>
      </c>
      <c r="P45" s="169">
        <v>264</v>
      </c>
      <c r="Q45" s="9">
        <v>0</v>
      </c>
      <c r="R45" s="9">
        <f t="shared" si="11"/>
        <v>4880.7</v>
      </c>
      <c r="T45" s="154"/>
    </row>
    <row r="46" spans="1:22" hidden="1" x14ac:dyDescent="0.4">
      <c r="A46" s="237"/>
      <c r="B46" s="227" t="s">
        <v>43</v>
      </c>
      <c r="C46" s="242"/>
      <c r="D46" s="231" t="s">
        <v>65</v>
      </c>
      <c r="E46" s="25" t="s">
        <v>70</v>
      </c>
      <c r="F46" s="9"/>
      <c r="G46" s="9"/>
      <c r="H46" s="9"/>
      <c r="I46" s="9"/>
      <c r="J46" s="9"/>
      <c r="K46" s="9"/>
      <c r="L46" s="9"/>
      <c r="M46" s="9"/>
      <c r="N46" s="9"/>
      <c r="O46" s="169"/>
      <c r="P46" s="169"/>
      <c r="Q46" s="9">
        <v>0</v>
      </c>
      <c r="R46" s="9">
        <f t="shared" si="11"/>
        <v>0</v>
      </c>
    </row>
    <row r="47" spans="1:22" x14ac:dyDescent="0.4">
      <c r="A47" s="237"/>
      <c r="B47" s="238" t="s">
        <v>71</v>
      </c>
      <c r="C47" s="242"/>
      <c r="D47" s="231" t="s">
        <v>65</v>
      </c>
      <c r="E47" s="25" t="s">
        <v>142</v>
      </c>
      <c r="F47" s="9">
        <v>0</v>
      </c>
      <c r="G47" s="9">
        <f>1800*1.1765</f>
        <v>2117.7000000000003</v>
      </c>
      <c r="H47" s="9">
        <v>0</v>
      </c>
      <c r="I47" s="9"/>
      <c r="J47" s="9"/>
      <c r="K47" s="9">
        <v>1079</v>
      </c>
      <c r="L47" s="9"/>
      <c r="M47" s="9">
        <v>1965</v>
      </c>
      <c r="N47" s="9"/>
      <c r="O47" s="169">
        <v>3823.6</v>
      </c>
      <c r="P47" s="169">
        <v>2141.1999999999998</v>
      </c>
      <c r="Q47" s="9">
        <v>0</v>
      </c>
      <c r="R47" s="9">
        <f t="shared" si="11"/>
        <v>11126.5</v>
      </c>
      <c r="T47" s="154"/>
      <c r="U47" s="34"/>
    </row>
    <row r="48" spans="1:22" x14ac:dyDescent="0.4">
      <c r="A48" s="237"/>
      <c r="B48" s="239"/>
      <c r="C48" s="242"/>
      <c r="D48" s="231" t="s">
        <v>141</v>
      </c>
      <c r="E48" s="25" t="s">
        <v>143</v>
      </c>
      <c r="F48" s="9">
        <v>0</v>
      </c>
      <c r="G48" s="9"/>
      <c r="H48" s="9">
        <v>5360</v>
      </c>
      <c r="I48" s="9">
        <v>8400</v>
      </c>
      <c r="J48" s="9"/>
      <c r="K48" s="9"/>
      <c r="L48" s="9"/>
      <c r="M48" s="9">
        <v>4032.9</v>
      </c>
      <c r="N48" s="9"/>
      <c r="O48" s="169"/>
      <c r="P48" s="169">
        <v>0</v>
      </c>
      <c r="Q48" s="9">
        <v>0</v>
      </c>
      <c r="R48" s="9">
        <f>SUM(F48:Q48)</f>
        <v>17792.900000000001</v>
      </c>
    </row>
    <row r="49" spans="1:21" x14ac:dyDescent="0.4">
      <c r="A49" s="237"/>
      <c r="B49" s="238" t="s">
        <v>72</v>
      </c>
      <c r="C49" s="242"/>
      <c r="D49" s="27" t="s">
        <v>73</v>
      </c>
      <c r="E49" s="231" t="s">
        <v>74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15">
        <v>0</v>
      </c>
      <c r="L49" s="15">
        <v>0</v>
      </c>
      <c r="M49" s="15">
        <v>0</v>
      </c>
      <c r="N49" s="15">
        <v>0</v>
      </c>
      <c r="O49" s="169">
        <f>47000*1.1765</f>
        <v>55295.500000000007</v>
      </c>
      <c r="P49" s="169">
        <v>0</v>
      </c>
      <c r="Q49" s="9">
        <v>0</v>
      </c>
      <c r="R49" s="9">
        <f t="shared" si="11"/>
        <v>55295.500000000007</v>
      </c>
    </row>
    <row r="50" spans="1:21" x14ac:dyDescent="0.4">
      <c r="A50" s="237"/>
      <c r="B50" s="242"/>
      <c r="C50" s="242"/>
      <c r="D50" s="240" t="s">
        <v>75</v>
      </c>
      <c r="E50" s="231" t="s">
        <v>136</v>
      </c>
      <c r="F50" s="9">
        <v>0</v>
      </c>
      <c r="G50" s="9">
        <v>0</v>
      </c>
      <c r="H50" s="9">
        <v>6420</v>
      </c>
      <c r="I50" s="9">
        <v>0</v>
      </c>
      <c r="J50" s="9">
        <v>1980</v>
      </c>
      <c r="K50" s="15">
        <v>0</v>
      </c>
      <c r="L50" s="15">
        <v>0</v>
      </c>
      <c r="M50" s="15">
        <v>3000</v>
      </c>
      <c r="N50" s="15">
        <v>0</v>
      </c>
      <c r="O50" s="169">
        <f>60*44</f>
        <v>2640</v>
      </c>
      <c r="P50" s="169">
        <v>1200</v>
      </c>
      <c r="Q50" s="9"/>
      <c r="R50" s="9">
        <f t="shared" si="11"/>
        <v>15240</v>
      </c>
      <c r="T50" s="154"/>
    </row>
    <row r="51" spans="1:21" x14ac:dyDescent="0.4">
      <c r="A51" s="237"/>
      <c r="B51" s="242"/>
      <c r="C51" s="242"/>
      <c r="D51" s="241"/>
      <c r="E51" s="231" t="s">
        <v>76</v>
      </c>
      <c r="F51" s="9">
        <v>0</v>
      </c>
      <c r="G51" s="9">
        <v>360</v>
      </c>
      <c r="H51" s="9">
        <v>0</v>
      </c>
      <c r="I51" s="9">
        <v>0</v>
      </c>
      <c r="J51" s="9">
        <v>0</v>
      </c>
      <c r="K51" s="15">
        <v>0</v>
      </c>
      <c r="L51" s="15"/>
      <c r="M51" s="15">
        <v>0</v>
      </c>
      <c r="N51" s="15">
        <v>0</v>
      </c>
      <c r="O51" s="9">
        <v>0</v>
      </c>
      <c r="P51" s="9">
        <v>0</v>
      </c>
      <c r="Q51" s="9">
        <v>0</v>
      </c>
      <c r="R51" s="9">
        <f t="shared" si="11"/>
        <v>360</v>
      </c>
      <c r="U51" s="34"/>
    </row>
    <row r="52" spans="1:21" hidden="1" x14ac:dyDescent="0.4">
      <c r="A52" s="260"/>
      <c r="B52" s="239"/>
      <c r="C52" s="239"/>
      <c r="D52" s="244"/>
      <c r="E52" s="231" t="s">
        <v>77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15">
        <v>0</v>
      </c>
      <c r="L52" s="15"/>
      <c r="M52" s="15">
        <v>0</v>
      </c>
      <c r="N52" s="15">
        <v>0</v>
      </c>
      <c r="O52" s="9">
        <v>0</v>
      </c>
      <c r="P52" s="9">
        <v>0</v>
      </c>
      <c r="Q52" s="9">
        <v>0</v>
      </c>
      <c r="R52" s="9">
        <f t="shared" si="11"/>
        <v>0</v>
      </c>
    </row>
    <row r="53" spans="1:21" x14ac:dyDescent="0.4">
      <c r="A53" s="245" t="s">
        <v>78</v>
      </c>
      <c r="B53" s="245"/>
      <c r="C53" s="245"/>
      <c r="D53" s="245"/>
      <c r="E53" s="245"/>
      <c r="F53" s="28">
        <f>SUM(F34:F49)</f>
        <v>0</v>
      </c>
      <c r="G53" s="28">
        <f t="shared" ref="G53:R53" si="12">SUM(G34:G52)</f>
        <v>22073.690000000002</v>
      </c>
      <c r="H53" s="28">
        <f t="shared" si="12"/>
        <v>87296</v>
      </c>
      <c r="I53" s="28">
        <f t="shared" si="12"/>
        <v>8400</v>
      </c>
      <c r="J53" s="28">
        <f t="shared" si="12"/>
        <v>4803.6000000000004</v>
      </c>
      <c r="K53" s="28">
        <f t="shared" si="12"/>
        <v>1079</v>
      </c>
      <c r="L53" s="28">
        <f t="shared" si="12"/>
        <v>0</v>
      </c>
      <c r="M53" s="28">
        <f>SUM(M34:M52)</f>
        <v>11821.5</v>
      </c>
      <c r="N53" s="29">
        <f t="shared" si="12"/>
        <v>0</v>
      </c>
      <c r="O53" s="28">
        <f>SUM(O34:O52)</f>
        <v>63807.3</v>
      </c>
      <c r="P53" s="28">
        <f>SUM(P34:P52)</f>
        <v>59854.249999999993</v>
      </c>
      <c r="Q53" s="28">
        <f t="shared" si="12"/>
        <v>418000</v>
      </c>
      <c r="R53" s="30">
        <f t="shared" si="12"/>
        <v>677135.34</v>
      </c>
      <c r="T53" s="154"/>
      <c r="U53" s="34"/>
    </row>
    <row r="54" spans="1:21" x14ac:dyDescent="0.4">
      <c r="A54" s="246" t="s">
        <v>79</v>
      </c>
      <c r="B54" s="246"/>
      <c r="C54" s="246"/>
      <c r="D54" s="246"/>
      <c r="E54" s="246"/>
      <c r="F54" s="31">
        <f>SUM(F33,F53)</f>
        <v>0</v>
      </c>
      <c r="G54" s="31">
        <f t="shared" ref="G54:O54" si="13">G33+G53</f>
        <v>382343.59</v>
      </c>
      <c r="H54" s="31">
        <f t="shared" si="13"/>
        <v>1122335.8999999999</v>
      </c>
      <c r="I54" s="31">
        <f t="shared" si="13"/>
        <v>1032100</v>
      </c>
      <c r="J54" s="31">
        <f t="shared" si="13"/>
        <v>449973.6</v>
      </c>
      <c r="K54" s="31">
        <f t="shared" si="13"/>
        <v>12679</v>
      </c>
      <c r="L54" s="31">
        <f t="shared" si="13"/>
        <v>8830</v>
      </c>
      <c r="M54" s="31">
        <f t="shared" si="13"/>
        <v>480281.5</v>
      </c>
      <c r="N54" s="31">
        <f t="shared" si="13"/>
        <v>362610</v>
      </c>
      <c r="O54" s="31">
        <f t="shared" si="13"/>
        <v>75697.3</v>
      </c>
      <c r="P54" s="31">
        <f>SUM(P33,P53)</f>
        <v>65854.25</v>
      </c>
      <c r="Q54" s="31">
        <f>SUM(Q33,Q53)</f>
        <v>992230</v>
      </c>
      <c r="R54" s="31">
        <f>R33+R53</f>
        <v>4984935.1399999997</v>
      </c>
    </row>
    <row r="55" spans="1:21" x14ac:dyDescent="0.4">
      <c r="A55" s="234" t="s">
        <v>80</v>
      </c>
      <c r="B55" s="234"/>
      <c r="C55" s="234"/>
      <c r="D55" s="234"/>
      <c r="E55" s="234"/>
      <c r="F55" s="32">
        <f>F33+F53</f>
        <v>0</v>
      </c>
      <c r="G55" s="32">
        <f>G33+G53</f>
        <v>382343.59</v>
      </c>
      <c r="H55" s="32">
        <f>SUM(H54:H54)</f>
        <v>1122335.8999999999</v>
      </c>
      <c r="I55" s="32">
        <f>SUM(I54:I54)</f>
        <v>1032100</v>
      </c>
      <c r="J55" s="32">
        <f t="shared" ref="J55:Q55" si="14">SUM(J54:J54)</f>
        <v>449973.6</v>
      </c>
      <c r="K55" s="32">
        <f t="shared" si="14"/>
        <v>12679</v>
      </c>
      <c r="L55" s="32">
        <f t="shared" si="14"/>
        <v>8830</v>
      </c>
      <c r="M55" s="32">
        <f t="shared" si="14"/>
        <v>480281.5</v>
      </c>
      <c r="N55" s="32">
        <f t="shared" si="14"/>
        <v>362610</v>
      </c>
      <c r="O55" s="32">
        <f t="shared" si="14"/>
        <v>75697.3</v>
      </c>
      <c r="P55" s="32">
        <f t="shared" si="14"/>
        <v>65854.25</v>
      </c>
      <c r="Q55" s="32">
        <f t="shared" si="14"/>
        <v>992230</v>
      </c>
      <c r="R55" s="32">
        <f>R33+R53</f>
        <v>4984935.1399999997</v>
      </c>
    </row>
    <row r="56" spans="1:21" ht="69" customHeight="1" x14ac:dyDescent="0.4">
      <c r="A56" s="235" t="s">
        <v>81</v>
      </c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</row>
    <row r="57" spans="1:21" x14ac:dyDescent="0.4"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1:21" x14ac:dyDescent="0.4">
      <c r="A58" s="136" t="s">
        <v>82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</row>
    <row r="59" spans="1:21" x14ac:dyDescent="0.4">
      <c r="A59" s="236" t="s">
        <v>55</v>
      </c>
      <c r="B59" s="238" t="s">
        <v>19</v>
      </c>
      <c r="C59" s="240" t="s">
        <v>55</v>
      </c>
      <c r="D59" s="231" t="s">
        <v>56</v>
      </c>
      <c r="E59" s="231" t="s">
        <v>57</v>
      </c>
      <c r="F59" s="9">
        <v>0</v>
      </c>
      <c r="G59" s="15">
        <v>0</v>
      </c>
      <c r="H59" s="9"/>
      <c r="I59" s="9">
        <v>0</v>
      </c>
      <c r="J59" s="9">
        <v>0</v>
      </c>
      <c r="K59" s="9">
        <v>0</v>
      </c>
      <c r="L59" s="9">
        <v>0</v>
      </c>
      <c r="M59" s="15">
        <v>0</v>
      </c>
      <c r="N59" s="9">
        <v>0</v>
      </c>
      <c r="O59" s="9">
        <v>0</v>
      </c>
      <c r="P59" s="9">
        <v>0</v>
      </c>
      <c r="Q59" s="138">
        <v>380000</v>
      </c>
      <c r="R59" s="9">
        <f t="shared" ref="R59:R61" si="15">SUM(F59:Q59)</f>
        <v>380000</v>
      </c>
    </row>
    <row r="60" spans="1:21" x14ac:dyDescent="0.4">
      <c r="A60" s="237"/>
      <c r="B60" s="239"/>
      <c r="C60" s="241"/>
      <c r="D60" s="231" t="s">
        <v>55</v>
      </c>
      <c r="E60" s="231" t="s">
        <v>59</v>
      </c>
      <c r="F60" s="9"/>
      <c r="G60" s="15"/>
      <c r="H60" s="9">
        <f>15000</f>
        <v>15000</v>
      </c>
      <c r="I60" s="9"/>
      <c r="J60" s="9"/>
      <c r="K60" s="9"/>
      <c r="L60" s="9"/>
      <c r="M60" s="15"/>
      <c r="N60" s="9"/>
      <c r="O60" s="9"/>
      <c r="P60" s="9"/>
      <c r="Q60" s="9"/>
      <c r="R60" s="9">
        <f t="shared" si="15"/>
        <v>15000</v>
      </c>
    </row>
    <row r="61" spans="1:21" ht="17.399999999999999" hidden="1" customHeight="1" x14ac:dyDescent="0.4">
      <c r="A61" s="237"/>
      <c r="B61" s="243" t="s">
        <v>26</v>
      </c>
      <c r="C61" s="242"/>
      <c r="D61" s="238" t="s">
        <v>60</v>
      </c>
      <c r="E61" s="25" t="s">
        <v>61</v>
      </c>
      <c r="F61" s="9"/>
      <c r="G61" s="15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f t="shared" si="15"/>
        <v>0</v>
      </c>
    </row>
    <row r="62" spans="1:21" x14ac:dyDescent="0.4">
      <c r="A62" s="237"/>
      <c r="B62" s="243"/>
      <c r="C62" s="242"/>
      <c r="D62" s="242"/>
      <c r="E62" s="25" t="s">
        <v>83</v>
      </c>
      <c r="F62" s="9">
        <v>0</v>
      </c>
      <c r="G62" s="9">
        <v>14110</v>
      </c>
      <c r="H62" s="9"/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/>
      <c r="O62" s="9"/>
      <c r="P62" s="9">
        <v>4030</v>
      </c>
      <c r="Q62" s="9">
        <v>0</v>
      </c>
      <c r="R62" s="9">
        <f>SUM(F62:Q62)</f>
        <v>18140</v>
      </c>
    </row>
    <row r="63" spans="1:21" x14ac:dyDescent="0.4">
      <c r="A63" s="237"/>
      <c r="B63" s="243"/>
      <c r="C63" s="242"/>
      <c r="D63" s="239"/>
      <c r="E63" s="25" t="s">
        <v>122</v>
      </c>
      <c r="F63" s="9"/>
      <c r="G63" s="9"/>
      <c r="H63" s="9"/>
      <c r="I63" s="9"/>
      <c r="J63" s="9"/>
      <c r="K63" s="9"/>
      <c r="L63" s="9"/>
      <c r="M63" s="9">
        <v>0</v>
      </c>
      <c r="O63" s="9"/>
      <c r="P63" s="9"/>
      <c r="Q63" s="9"/>
      <c r="R63" s="9">
        <f>SUM(F63:Q63)</f>
        <v>0</v>
      </c>
    </row>
    <row r="64" spans="1:21" hidden="1" x14ac:dyDescent="0.4">
      <c r="A64" s="237"/>
      <c r="B64" s="243"/>
      <c r="C64" s="242"/>
      <c r="D64" s="231" t="s">
        <v>63</v>
      </c>
      <c r="E64" s="25" t="s">
        <v>64</v>
      </c>
      <c r="F64" s="9">
        <v>0</v>
      </c>
      <c r="G64" s="9"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>
        <f t="shared" ref="R64:R76" si="16">SUM(F64:Q64)</f>
        <v>0</v>
      </c>
    </row>
    <row r="65" spans="1:18" hidden="1" x14ac:dyDescent="0.4">
      <c r="A65" s="237"/>
      <c r="B65" s="243"/>
      <c r="C65" s="242"/>
      <c r="D65" s="231" t="s">
        <v>65</v>
      </c>
      <c r="E65" s="25" t="s">
        <v>66</v>
      </c>
      <c r="F65" s="9"/>
      <c r="G65" s="9"/>
      <c r="H65" s="9"/>
      <c r="I65" s="9"/>
      <c r="J65" s="9"/>
      <c r="K65" s="9"/>
      <c r="L65" s="9"/>
      <c r="M65" s="9"/>
      <c r="N65" s="9"/>
      <c r="O65" s="26"/>
      <c r="P65" s="9"/>
      <c r="Q65" s="9"/>
      <c r="R65" s="9">
        <f t="shared" si="16"/>
        <v>0</v>
      </c>
    </row>
    <row r="66" spans="1:18" x14ac:dyDescent="0.4">
      <c r="A66" s="237"/>
      <c r="B66" s="243"/>
      <c r="C66" s="242"/>
      <c r="D66" s="231" t="s">
        <v>65</v>
      </c>
      <c r="E66" s="25" t="s">
        <v>67</v>
      </c>
      <c r="F66" s="9">
        <v>0</v>
      </c>
      <c r="G66" s="9">
        <v>1550</v>
      </c>
      <c r="H66" s="9"/>
      <c r="I66" s="9"/>
      <c r="J66" s="9">
        <v>2400</v>
      </c>
      <c r="K66" s="9"/>
      <c r="L66" s="9"/>
      <c r="M66" s="9">
        <v>2400</v>
      </c>
      <c r="N66" s="9"/>
      <c r="O66" s="9"/>
      <c r="P66" s="9">
        <v>0</v>
      </c>
      <c r="Q66" s="9"/>
      <c r="R66" s="9">
        <f>SUM(F66:Q66)</f>
        <v>6350</v>
      </c>
    </row>
    <row r="67" spans="1:18" x14ac:dyDescent="0.4">
      <c r="A67" s="237"/>
      <c r="B67" s="243"/>
      <c r="C67" s="242"/>
      <c r="D67" s="238" t="s">
        <v>55</v>
      </c>
      <c r="E67" s="25" t="s">
        <v>137</v>
      </c>
      <c r="F67" s="9">
        <v>0</v>
      </c>
      <c r="G67" s="9">
        <v>0</v>
      </c>
      <c r="H67" s="9">
        <v>47000</v>
      </c>
      <c r="I67" s="9"/>
      <c r="J67" s="9"/>
      <c r="K67" s="9"/>
      <c r="L67" s="9"/>
      <c r="M67" s="9">
        <v>0</v>
      </c>
      <c r="N67" s="9"/>
      <c r="O67" s="9">
        <v>1000</v>
      </c>
      <c r="P67" s="9">
        <v>43800</v>
      </c>
      <c r="Q67" s="138">
        <v>4400</v>
      </c>
      <c r="R67" s="9">
        <f>SUM(F67:Q67)</f>
        <v>96200</v>
      </c>
    </row>
    <row r="68" spans="1:18" hidden="1" x14ac:dyDescent="0.4">
      <c r="A68" s="237"/>
      <c r="B68" s="243"/>
      <c r="C68" s="242"/>
      <c r="D68" s="239"/>
      <c r="E68" s="25" t="s">
        <v>139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>
        <f>SUM(F68:Q68)</f>
        <v>0</v>
      </c>
    </row>
    <row r="69" spans="1:18" x14ac:dyDescent="0.4">
      <c r="A69" s="237"/>
      <c r="B69" s="243"/>
      <c r="C69" s="242"/>
      <c r="D69" s="231" t="s">
        <v>68</v>
      </c>
      <c r="E69" s="25" t="s">
        <v>69</v>
      </c>
      <c r="F69" s="15">
        <v>0</v>
      </c>
      <c r="G69" s="169">
        <v>1172</v>
      </c>
      <c r="H69" s="9">
        <v>2220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/>
      <c r="O69" s="169">
        <v>871.7</v>
      </c>
      <c r="P69" s="9">
        <v>264</v>
      </c>
      <c r="Q69" s="9">
        <v>0</v>
      </c>
      <c r="R69" s="9">
        <f>SUM(F69:Q69)</f>
        <v>4527.7</v>
      </c>
    </row>
    <row r="70" spans="1:18" hidden="1" x14ac:dyDescent="0.4">
      <c r="A70" s="237"/>
      <c r="B70" s="227" t="s">
        <v>43</v>
      </c>
      <c r="C70" s="242"/>
      <c r="D70" s="231" t="s">
        <v>65</v>
      </c>
      <c r="E70" s="25" t="s">
        <v>70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>
        <f t="shared" si="16"/>
        <v>0</v>
      </c>
    </row>
    <row r="71" spans="1:18" x14ac:dyDescent="0.4">
      <c r="A71" s="237"/>
      <c r="B71" s="238" t="s">
        <v>71</v>
      </c>
      <c r="C71" s="242"/>
      <c r="D71" s="231" t="s">
        <v>65</v>
      </c>
      <c r="E71" s="25" t="s">
        <v>142</v>
      </c>
      <c r="F71" s="9">
        <v>0</v>
      </c>
      <c r="G71" s="9">
        <v>1800</v>
      </c>
      <c r="H71" s="9">
        <v>0</v>
      </c>
      <c r="I71" s="9"/>
      <c r="J71" s="9"/>
      <c r="K71" s="9">
        <v>917</v>
      </c>
      <c r="L71" s="9"/>
      <c r="M71" s="9">
        <v>1670</v>
      </c>
      <c r="N71" s="9"/>
      <c r="O71" s="9">
        <v>3250</v>
      </c>
      <c r="P71" s="9">
        <v>1820</v>
      </c>
      <c r="Q71" s="9">
        <v>0</v>
      </c>
      <c r="R71" s="9">
        <f t="shared" si="16"/>
        <v>9457</v>
      </c>
    </row>
    <row r="72" spans="1:18" x14ac:dyDescent="0.4">
      <c r="A72" s="237"/>
      <c r="B72" s="239"/>
      <c r="C72" s="242"/>
      <c r="D72" s="231" t="s">
        <v>141</v>
      </c>
      <c r="E72" s="25" t="s">
        <v>143</v>
      </c>
      <c r="F72" s="9">
        <v>0</v>
      </c>
      <c r="G72" s="9"/>
      <c r="H72" s="9">
        <v>5360</v>
      </c>
      <c r="I72" s="9">
        <v>8400</v>
      </c>
      <c r="J72" s="9"/>
      <c r="K72" s="9"/>
      <c r="L72" s="9"/>
      <c r="M72" s="9">
        <v>3980</v>
      </c>
      <c r="N72" s="9"/>
      <c r="O72" s="9"/>
      <c r="P72" s="9"/>
      <c r="Q72" s="9">
        <v>0</v>
      </c>
      <c r="R72" s="9">
        <f t="shared" si="16"/>
        <v>17740</v>
      </c>
    </row>
    <row r="73" spans="1:18" x14ac:dyDescent="0.4">
      <c r="A73" s="237"/>
      <c r="B73" s="238" t="s">
        <v>72</v>
      </c>
      <c r="C73" s="242"/>
      <c r="D73" s="27" t="s">
        <v>73</v>
      </c>
      <c r="E73" s="231" t="s">
        <v>74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15">
        <v>0</v>
      </c>
      <c r="L73" s="15">
        <v>0</v>
      </c>
      <c r="M73" s="15">
        <v>0</v>
      </c>
      <c r="N73" s="15">
        <v>0</v>
      </c>
      <c r="O73" s="15">
        <f>47000</f>
        <v>47000</v>
      </c>
      <c r="P73" s="15"/>
      <c r="Q73" s="15">
        <v>0</v>
      </c>
      <c r="R73" s="9">
        <f>SUM(F73:Q73)</f>
        <v>47000</v>
      </c>
    </row>
    <row r="74" spans="1:18" x14ac:dyDescent="0.4">
      <c r="A74" s="237"/>
      <c r="B74" s="242"/>
      <c r="C74" s="242"/>
      <c r="D74" s="240" t="s">
        <v>75</v>
      </c>
      <c r="E74" s="231" t="s">
        <v>123</v>
      </c>
      <c r="F74" s="9">
        <v>0</v>
      </c>
      <c r="G74" s="9">
        <v>0</v>
      </c>
      <c r="H74" s="9">
        <v>6420</v>
      </c>
      <c r="I74" s="9">
        <v>0</v>
      </c>
      <c r="J74" s="9">
        <v>1980</v>
      </c>
      <c r="K74" s="15">
        <v>0</v>
      </c>
      <c r="L74" s="15">
        <v>0</v>
      </c>
      <c r="M74" s="15">
        <f>50*60</f>
        <v>3000</v>
      </c>
      <c r="N74" s="15">
        <v>0</v>
      </c>
      <c r="O74" s="9">
        <f>60*44</f>
        <v>2640</v>
      </c>
      <c r="P74" s="9">
        <v>1200</v>
      </c>
      <c r="Q74" s="9"/>
      <c r="R74" s="9">
        <f t="shared" si="16"/>
        <v>15240</v>
      </c>
    </row>
    <row r="75" spans="1:18" x14ac:dyDescent="0.4">
      <c r="A75" s="237"/>
      <c r="B75" s="242"/>
      <c r="C75" s="242"/>
      <c r="D75" s="241"/>
      <c r="E75" s="231" t="s">
        <v>76</v>
      </c>
      <c r="F75" s="9">
        <v>0</v>
      </c>
      <c r="G75" s="9">
        <v>360</v>
      </c>
      <c r="H75" s="9">
        <v>0</v>
      </c>
      <c r="I75" s="9">
        <v>0</v>
      </c>
      <c r="J75" s="9">
        <v>0</v>
      </c>
      <c r="K75" s="15">
        <v>0</v>
      </c>
      <c r="L75" s="15">
        <v>0</v>
      </c>
      <c r="M75" s="15">
        <v>0</v>
      </c>
      <c r="N75" s="15">
        <v>0</v>
      </c>
      <c r="O75" s="9">
        <v>0</v>
      </c>
      <c r="P75" s="9">
        <v>0</v>
      </c>
      <c r="Q75" s="9">
        <v>0</v>
      </c>
      <c r="R75" s="9">
        <f t="shared" si="16"/>
        <v>360</v>
      </c>
    </row>
    <row r="76" spans="1:18" hidden="1" x14ac:dyDescent="0.4">
      <c r="A76" s="237"/>
      <c r="B76" s="239"/>
      <c r="C76" s="239"/>
      <c r="D76" s="244"/>
      <c r="E76" s="231" t="s">
        <v>77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15">
        <v>0</v>
      </c>
      <c r="L76" s="15">
        <v>0</v>
      </c>
      <c r="M76" s="15">
        <v>0</v>
      </c>
      <c r="N76" s="15">
        <v>0</v>
      </c>
      <c r="O76" s="9">
        <v>0</v>
      </c>
      <c r="P76" s="9">
        <v>0</v>
      </c>
      <c r="Q76" s="9">
        <v>0</v>
      </c>
      <c r="R76" s="9">
        <f t="shared" si="16"/>
        <v>0</v>
      </c>
    </row>
    <row r="77" spans="1:18" ht="17.399999999999999" customHeight="1" x14ac:dyDescent="0.4">
      <c r="A77" s="247" t="s">
        <v>78</v>
      </c>
      <c r="B77" s="248"/>
      <c r="C77" s="248"/>
      <c r="D77" s="248"/>
      <c r="E77" s="249"/>
      <c r="F77" s="28">
        <f t="shared" ref="F77:Q77" si="17">SUM(F59:F76)</f>
        <v>0</v>
      </c>
      <c r="G77" s="28">
        <f t="shared" si="17"/>
        <v>18992</v>
      </c>
      <c r="H77" s="28">
        <f>SUM(H59:H76)</f>
        <v>76000</v>
      </c>
      <c r="I77" s="28">
        <f>SUM(I59:I76)</f>
        <v>8400</v>
      </c>
      <c r="J77" s="28">
        <f t="shared" si="17"/>
        <v>4380</v>
      </c>
      <c r="K77" s="28">
        <f t="shared" si="17"/>
        <v>917</v>
      </c>
      <c r="L77" s="28">
        <f t="shared" si="17"/>
        <v>0</v>
      </c>
      <c r="M77" s="28">
        <f>SUM(M59:M76)</f>
        <v>11050</v>
      </c>
      <c r="N77" s="28">
        <f t="shared" si="17"/>
        <v>0</v>
      </c>
      <c r="O77" s="28">
        <f t="shared" si="17"/>
        <v>54761.7</v>
      </c>
      <c r="P77" s="28">
        <f t="shared" si="17"/>
        <v>51114</v>
      </c>
      <c r="Q77" s="28">
        <f t="shared" si="17"/>
        <v>384400</v>
      </c>
      <c r="R77" s="30">
        <f>SUM(R59:R76)</f>
        <v>610014.69999999995</v>
      </c>
    </row>
    <row r="78" spans="1:18" x14ac:dyDescent="0.4">
      <c r="A78" s="250" t="s">
        <v>84</v>
      </c>
      <c r="B78" s="251"/>
      <c r="C78" s="251"/>
      <c r="D78" s="251"/>
      <c r="E78" s="252"/>
      <c r="F78" s="35">
        <f>SUM(F60:F67)*17.65%+F71*17.65%+F73*17.65%</f>
        <v>0</v>
      </c>
      <c r="G78" s="35">
        <f>SUM(G60:G67)*17.65%+G71*17.65%+G73*17.65%</f>
        <v>3081.6899999999996</v>
      </c>
      <c r="H78" s="35">
        <f>(SUM(H60:H69)-220)*17.65%+H71*17.65%+H73*17.65%</f>
        <v>11296</v>
      </c>
      <c r="I78" s="35">
        <f t="shared" ref="I78:L78" si="18">SUM(I60:I67)*17.65%+I71*17.65%+I73*17.65%</f>
        <v>0</v>
      </c>
      <c r="J78" s="35">
        <f t="shared" si="18"/>
        <v>423.59999999999997</v>
      </c>
      <c r="K78" s="35">
        <f t="shared" si="18"/>
        <v>161.85049999999998</v>
      </c>
      <c r="L78" s="35">
        <f t="shared" si="18"/>
        <v>0</v>
      </c>
      <c r="M78" s="35">
        <f>SUM(M60:M67)*17.65%+M71*17.65%+M73*17.65%+53</f>
        <v>771.35500000000002</v>
      </c>
      <c r="N78" s="35">
        <f>SUM(N60:N67)*17.65%+N71*17.65%+N73*17.65%</f>
        <v>0</v>
      </c>
      <c r="O78" s="35">
        <f>SUM(O60:O67)*17.65%+O71*17.65%+O73*17.65%</f>
        <v>9045.625</v>
      </c>
      <c r="P78" s="35">
        <f>(SUM(P60:P67)-130)*17.65%+P71*17.65%+P73*17.65%</f>
        <v>8740.2799999999988</v>
      </c>
      <c r="Q78" s="35">
        <v>33600</v>
      </c>
      <c r="R78" s="35">
        <f>SUM(F78:Q78)</f>
        <v>67120.400499999989</v>
      </c>
    </row>
    <row r="79" spans="1:18" x14ac:dyDescent="0.4">
      <c r="A79" s="234" t="s">
        <v>85</v>
      </c>
      <c r="B79" s="234"/>
      <c r="C79" s="234"/>
      <c r="D79" s="234"/>
      <c r="E79" s="234"/>
      <c r="F79" s="36">
        <f>F77+F78</f>
        <v>0</v>
      </c>
      <c r="G79" s="36">
        <f t="shared" ref="G79:Q79" si="19">G77+G78</f>
        <v>22073.69</v>
      </c>
      <c r="H79" s="36">
        <f>H77+H78</f>
        <v>87296</v>
      </c>
      <c r="I79" s="36">
        <f t="shared" si="19"/>
        <v>8400</v>
      </c>
      <c r="J79" s="36">
        <f>J77+J78-1</f>
        <v>4802.6000000000004</v>
      </c>
      <c r="K79" s="36">
        <f t="shared" si="19"/>
        <v>1078.8505</v>
      </c>
      <c r="L79" s="36">
        <f>L77+L78</f>
        <v>0</v>
      </c>
      <c r="M79" s="36">
        <f t="shared" si="19"/>
        <v>11821.355</v>
      </c>
      <c r="N79" s="36">
        <f t="shared" si="19"/>
        <v>0</v>
      </c>
      <c r="O79" s="36">
        <f t="shared" si="19"/>
        <v>63807.324999999997</v>
      </c>
      <c r="P79" s="36">
        <f t="shared" si="19"/>
        <v>59854.28</v>
      </c>
      <c r="Q79" s="36">
        <f t="shared" si="19"/>
        <v>418000</v>
      </c>
      <c r="R79" s="36">
        <f>R77+R78</f>
        <v>677135.10049999994</v>
      </c>
    </row>
    <row r="80" spans="1:18" x14ac:dyDescent="0.4">
      <c r="H80" s="33"/>
      <c r="I80" s="33"/>
      <c r="J80" s="33"/>
      <c r="K80" s="33"/>
      <c r="L80" s="33"/>
      <c r="M80" s="33"/>
      <c r="N80" s="33"/>
      <c r="O80" s="33"/>
      <c r="P80" s="33"/>
    </row>
    <row r="81" spans="6:18" hidden="1" x14ac:dyDescent="0.4">
      <c r="L81" s="35"/>
      <c r="M81" s="35"/>
      <c r="N81" s="33"/>
    </row>
    <row r="82" spans="6:18" hidden="1" x14ac:dyDescent="0.4">
      <c r="O82" s="37"/>
    </row>
    <row r="83" spans="6:18" hidden="1" x14ac:dyDescent="0.4">
      <c r="O83" s="37"/>
      <c r="P83" s="33"/>
      <c r="R83" s="33"/>
    </row>
    <row r="84" spans="6:18" hidden="1" x14ac:dyDescent="0.4">
      <c r="O84" s="37"/>
    </row>
    <row r="85" spans="6:18" hidden="1" x14ac:dyDescent="0.4">
      <c r="F85" s="37"/>
      <c r="O85" s="33"/>
    </row>
    <row r="87" spans="6:18" x14ac:dyDescent="0.4">
      <c r="F87" s="34"/>
      <c r="H87" s="34"/>
    </row>
    <row r="88" spans="6:18" x14ac:dyDescent="0.4">
      <c r="I88" s="154"/>
    </row>
  </sheetData>
  <mergeCells count="48">
    <mergeCell ref="A77:E77"/>
    <mergeCell ref="A78:E78"/>
    <mergeCell ref="A79:E79"/>
    <mergeCell ref="A56:R56"/>
    <mergeCell ref="A59:A76"/>
    <mergeCell ref="B59:B60"/>
    <mergeCell ref="C59:C76"/>
    <mergeCell ref="B61:B69"/>
    <mergeCell ref="D61:D63"/>
    <mergeCell ref="D67:D68"/>
    <mergeCell ref="B71:B72"/>
    <mergeCell ref="B73:B76"/>
    <mergeCell ref="D74:D76"/>
    <mergeCell ref="B47:B48"/>
    <mergeCell ref="B49:B52"/>
    <mergeCell ref="D50:D52"/>
    <mergeCell ref="A53:E53"/>
    <mergeCell ref="A54:E54"/>
    <mergeCell ref="A55:E55"/>
    <mergeCell ref="B30:E30"/>
    <mergeCell ref="B32:E32"/>
    <mergeCell ref="A33:E33"/>
    <mergeCell ref="A34:A52"/>
    <mergeCell ref="B34:B36"/>
    <mergeCell ref="C34:C52"/>
    <mergeCell ref="D34:D35"/>
    <mergeCell ref="B37:B45"/>
    <mergeCell ref="D37:D39"/>
    <mergeCell ref="D43:D44"/>
    <mergeCell ref="C12:C16"/>
    <mergeCell ref="C17:C20"/>
    <mergeCell ref="B21:E21"/>
    <mergeCell ref="B23:E23"/>
    <mergeCell ref="B24:B29"/>
    <mergeCell ref="C24:C27"/>
    <mergeCell ref="D24:D27"/>
    <mergeCell ref="C28:C29"/>
    <mergeCell ref="D28:D29"/>
    <mergeCell ref="A1:F1"/>
    <mergeCell ref="A3:D3"/>
    <mergeCell ref="A4:E4"/>
    <mergeCell ref="A5:A32"/>
    <mergeCell ref="B5:B6"/>
    <mergeCell ref="C5:C6"/>
    <mergeCell ref="B7:E7"/>
    <mergeCell ref="B8:B20"/>
    <mergeCell ref="C8:C11"/>
    <mergeCell ref="D8:D10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6" max="17" man="1"/>
    <brk id="79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0F03-2CBB-4D9F-BFB8-0C587953A0F1}">
  <sheetPr>
    <pageSetUpPr fitToPage="1"/>
  </sheetPr>
  <dimension ref="A1:V88"/>
  <sheetViews>
    <sheetView topLeftCell="D1" zoomScale="70" zoomScaleNormal="70" workbookViewId="0">
      <selection activeCell="T22" sqref="T22"/>
    </sheetView>
  </sheetViews>
  <sheetFormatPr defaultRowHeight="17.399999999999999" x14ac:dyDescent="0.4"/>
  <cols>
    <col min="1" max="1" width="8.69921875" customWidth="1"/>
    <col min="2" max="2" width="13" bestFit="1" customWidth="1"/>
    <col min="3" max="3" width="14.8984375" customWidth="1"/>
    <col min="4" max="4" width="17.8984375" customWidth="1"/>
    <col min="5" max="5" width="41.5" customWidth="1"/>
    <col min="6" max="6" width="12.69921875" bestFit="1" customWidth="1"/>
    <col min="7" max="10" width="13.69921875" customWidth="1"/>
    <col min="11" max="11" width="14.69921875" customWidth="1"/>
    <col min="12" max="12" width="13.69921875" customWidth="1"/>
    <col min="13" max="13" width="13" customWidth="1"/>
    <col min="14" max="14" width="13.69921875" customWidth="1"/>
    <col min="15" max="15" width="13" bestFit="1" customWidth="1"/>
    <col min="16" max="16" width="12.3984375" customWidth="1"/>
    <col min="17" max="17" width="12" customWidth="1"/>
    <col min="18" max="18" width="15.5" bestFit="1" customWidth="1"/>
  </cols>
  <sheetData>
    <row r="1" spans="1:18" ht="30" x14ac:dyDescent="0.4">
      <c r="A1" s="261" t="s">
        <v>115</v>
      </c>
      <c r="B1" s="261"/>
      <c r="C1" s="261"/>
      <c r="D1" s="261"/>
      <c r="E1" s="261"/>
      <c r="F1" s="261"/>
      <c r="R1" s="1" t="s">
        <v>148</v>
      </c>
    </row>
    <row r="2" spans="1:18" ht="17.25" customHeight="1" x14ac:dyDescent="0.4">
      <c r="A2" s="215"/>
      <c r="B2" s="215"/>
      <c r="C2" s="215"/>
      <c r="D2" s="215"/>
      <c r="E2" s="215"/>
      <c r="F2" s="215"/>
      <c r="R2" s="3" t="s">
        <v>0</v>
      </c>
    </row>
    <row r="3" spans="1:18" x14ac:dyDescent="0.4">
      <c r="A3" s="262" t="s">
        <v>1</v>
      </c>
      <c r="B3" s="262"/>
      <c r="C3" s="262"/>
      <c r="D3" s="262"/>
      <c r="E3" s="4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</row>
    <row r="4" spans="1:18" x14ac:dyDescent="0.4">
      <c r="A4" s="263" t="s">
        <v>16</v>
      </c>
      <c r="B4" s="264"/>
      <c r="C4" s="264"/>
      <c r="D4" s="264"/>
      <c r="E4" s="265"/>
      <c r="F4" s="6" t="s">
        <v>116</v>
      </c>
      <c r="G4" s="6" t="s">
        <v>117</v>
      </c>
      <c r="H4" s="6" t="s">
        <v>118</v>
      </c>
      <c r="I4" s="6"/>
      <c r="J4" s="6" t="s">
        <v>17</v>
      </c>
      <c r="K4" s="6" t="s">
        <v>119</v>
      </c>
      <c r="L4" s="6" t="s">
        <v>18</v>
      </c>
      <c r="M4" s="6" t="s">
        <v>18</v>
      </c>
      <c r="N4" s="6" t="s">
        <v>120</v>
      </c>
      <c r="O4" s="6"/>
      <c r="P4" s="6"/>
      <c r="Q4" s="6" t="s">
        <v>121</v>
      </c>
      <c r="R4" s="6"/>
    </row>
    <row r="5" spans="1:18" x14ac:dyDescent="0.4">
      <c r="A5" s="266" t="s">
        <v>1</v>
      </c>
      <c r="B5" s="254" t="s">
        <v>19</v>
      </c>
      <c r="C5" s="254" t="s">
        <v>20</v>
      </c>
      <c r="D5" s="214" t="s">
        <v>21</v>
      </c>
      <c r="E5" s="8" t="s">
        <v>22</v>
      </c>
      <c r="F5" s="9">
        <v>0</v>
      </c>
      <c r="G5" s="9">
        <v>0</v>
      </c>
      <c r="H5" s="9">
        <v>470000</v>
      </c>
      <c r="I5" s="9">
        <v>450000</v>
      </c>
      <c r="J5" s="10">
        <v>50000</v>
      </c>
      <c r="K5" s="9">
        <v>0</v>
      </c>
      <c r="L5" s="9">
        <v>0</v>
      </c>
      <c r="M5" s="10">
        <v>80000</v>
      </c>
      <c r="N5" s="10">
        <v>50000</v>
      </c>
      <c r="O5" s="9">
        <v>0</v>
      </c>
      <c r="P5" s="9">
        <v>0</v>
      </c>
      <c r="Q5" s="9">
        <v>0</v>
      </c>
      <c r="R5" s="11">
        <f>SUM(F5:Q5)</f>
        <v>1100000</v>
      </c>
    </row>
    <row r="6" spans="1:18" x14ac:dyDescent="0.4">
      <c r="A6" s="266"/>
      <c r="B6" s="255"/>
      <c r="C6" s="255"/>
      <c r="D6" s="212" t="s">
        <v>23</v>
      </c>
      <c r="E6" s="212" t="s">
        <v>24</v>
      </c>
      <c r="F6" s="9">
        <v>0</v>
      </c>
      <c r="G6" s="9">
        <v>300000</v>
      </c>
      <c r="H6" s="9">
        <v>330000</v>
      </c>
      <c r="I6" s="9">
        <v>350000</v>
      </c>
      <c r="J6" s="9">
        <v>250000</v>
      </c>
      <c r="K6" s="9">
        <v>0</v>
      </c>
      <c r="L6" s="9">
        <v>0</v>
      </c>
      <c r="M6" s="9">
        <v>210000</v>
      </c>
      <c r="N6" s="9">
        <v>160000</v>
      </c>
      <c r="O6" s="9"/>
      <c r="P6" s="9">
        <v>0</v>
      </c>
      <c r="Q6" s="9">
        <v>0</v>
      </c>
      <c r="R6" s="9">
        <f>SUM(F6:Q6)</f>
        <v>1600000</v>
      </c>
    </row>
    <row r="7" spans="1:18" x14ac:dyDescent="0.4">
      <c r="A7" s="266"/>
      <c r="B7" s="256" t="s">
        <v>25</v>
      </c>
      <c r="C7" s="257"/>
      <c r="D7" s="257"/>
      <c r="E7" s="258"/>
      <c r="F7" s="13">
        <f t="shared" ref="F7:G7" si="0">F6</f>
        <v>0</v>
      </c>
      <c r="G7" s="13">
        <f t="shared" si="0"/>
        <v>300000</v>
      </c>
      <c r="H7" s="13">
        <f t="shared" ref="H7:Q7" si="1">SUM(H5:H6)</f>
        <v>800000</v>
      </c>
      <c r="I7" s="13">
        <f t="shared" si="1"/>
        <v>800000</v>
      </c>
      <c r="J7" s="13">
        <f t="shared" si="1"/>
        <v>300000</v>
      </c>
      <c r="K7" s="13">
        <f t="shared" si="1"/>
        <v>0</v>
      </c>
      <c r="L7" s="13">
        <f t="shared" si="1"/>
        <v>0</v>
      </c>
      <c r="M7" s="13">
        <f t="shared" si="1"/>
        <v>290000</v>
      </c>
      <c r="N7" s="13">
        <f t="shared" si="1"/>
        <v>210000</v>
      </c>
      <c r="O7" s="13">
        <f t="shared" si="1"/>
        <v>0</v>
      </c>
      <c r="P7" s="13">
        <f t="shared" si="1"/>
        <v>0</v>
      </c>
      <c r="Q7" s="13">
        <f t="shared" si="1"/>
        <v>0</v>
      </c>
      <c r="R7" s="13">
        <f>SUM(F7:Q7)</f>
        <v>2700000</v>
      </c>
    </row>
    <row r="8" spans="1:18" x14ac:dyDescent="0.4">
      <c r="A8" s="266"/>
      <c r="B8" s="254" t="s">
        <v>26</v>
      </c>
      <c r="C8" s="268" t="s">
        <v>27</v>
      </c>
      <c r="D8" s="238" t="s">
        <v>28</v>
      </c>
      <c r="E8" s="212" t="s">
        <v>29</v>
      </c>
      <c r="F8" s="9">
        <v>0</v>
      </c>
      <c r="G8" s="9">
        <v>12000</v>
      </c>
      <c r="H8" s="9">
        <v>20000</v>
      </c>
      <c r="I8" s="9">
        <v>18000</v>
      </c>
      <c r="J8" s="9">
        <v>18000</v>
      </c>
      <c r="K8" s="9">
        <v>0</v>
      </c>
      <c r="L8" s="9">
        <v>0</v>
      </c>
      <c r="M8" s="9">
        <v>35000</v>
      </c>
      <c r="N8" s="9">
        <v>30000</v>
      </c>
      <c r="O8" s="9"/>
      <c r="P8" s="9">
        <v>0</v>
      </c>
      <c r="Q8" s="9">
        <v>0</v>
      </c>
      <c r="R8" s="9">
        <f>SUM(F8:Q8)</f>
        <v>133000</v>
      </c>
    </row>
    <row r="9" spans="1:18" x14ac:dyDescent="0.4">
      <c r="A9" s="266"/>
      <c r="B9" s="254"/>
      <c r="C9" s="268"/>
      <c r="D9" s="242"/>
      <c r="E9" s="212" t="s">
        <v>124</v>
      </c>
      <c r="F9" s="9">
        <v>0</v>
      </c>
      <c r="G9" s="9">
        <v>6110</v>
      </c>
      <c r="H9" s="9">
        <v>15000</v>
      </c>
      <c r="I9" s="9">
        <v>10000</v>
      </c>
      <c r="J9" s="9">
        <v>15000</v>
      </c>
      <c r="K9" s="9">
        <v>0</v>
      </c>
      <c r="L9" s="9">
        <v>0</v>
      </c>
      <c r="M9" s="9">
        <v>5000</v>
      </c>
      <c r="N9" s="9">
        <v>7040</v>
      </c>
      <c r="O9" s="9"/>
      <c r="P9" s="9">
        <v>0</v>
      </c>
      <c r="Q9" s="9">
        <v>0</v>
      </c>
      <c r="R9" s="9">
        <f t="shared" ref="R9:R20" si="2">SUM(F9:Q9)</f>
        <v>58150</v>
      </c>
    </row>
    <row r="10" spans="1:18" x14ac:dyDescent="0.4">
      <c r="A10" s="266"/>
      <c r="B10" s="254"/>
      <c r="C10" s="268"/>
      <c r="D10" s="239"/>
      <c r="E10" s="212" t="s">
        <v>30</v>
      </c>
      <c r="F10" s="9">
        <v>0</v>
      </c>
      <c r="G10" s="9">
        <v>10000</v>
      </c>
      <c r="H10" s="9">
        <v>8000</v>
      </c>
      <c r="I10" s="9">
        <v>0</v>
      </c>
      <c r="J10" s="9">
        <v>10000</v>
      </c>
      <c r="K10" s="9">
        <v>0</v>
      </c>
      <c r="L10" s="9">
        <v>0</v>
      </c>
      <c r="M10" s="9">
        <v>33038</v>
      </c>
      <c r="N10" s="9">
        <v>20979</v>
      </c>
      <c r="O10" s="9"/>
      <c r="P10" s="9">
        <v>0</v>
      </c>
      <c r="Q10" s="9">
        <v>0</v>
      </c>
      <c r="R10" s="9">
        <f t="shared" si="2"/>
        <v>82017</v>
      </c>
    </row>
    <row r="11" spans="1:18" x14ac:dyDescent="0.4">
      <c r="A11" s="266"/>
      <c r="B11" s="254"/>
      <c r="C11" s="268"/>
      <c r="D11" s="212" t="s">
        <v>31</v>
      </c>
      <c r="E11" s="212" t="s">
        <v>32</v>
      </c>
      <c r="F11" s="9">
        <v>0</v>
      </c>
      <c r="G11" s="9">
        <v>7000</v>
      </c>
      <c r="H11" s="9">
        <v>10000</v>
      </c>
      <c r="I11" s="9">
        <v>10000</v>
      </c>
      <c r="J11" s="9">
        <v>8890</v>
      </c>
      <c r="K11" s="9">
        <v>0</v>
      </c>
      <c r="L11" s="9">
        <v>0</v>
      </c>
      <c r="M11" s="9">
        <v>0</v>
      </c>
      <c r="N11" s="9">
        <v>0</v>
      </c>
      <c r="O11" s="9"/>
      <c r="P11" s="9">
        <v>0</v>
      </c>
      <c r="Q11" s="9">
        <v>0</v>
      </c>
      <c r="R11" s="9">
        <f t="shared" si="2"/>
        <v>35890</v>
      </c>
    </row>
    <row r="12" spans="1:18" x14ac:dyDescent="0.4">
      <c r="A12" s="266"/>
      <c r="B12" s="254"/>
      <c r="C12" s="268" t="s">
        <v>33</v>
      </c>
      <c r="D12" s="209" t="s">
        <v>34</v>
      </c>
      <c r="E12" s="212" t="s">
        <v>35</v>
      </c>
      <c r="F12" s="9">
        <v>0</v>
      </c>
      <c r="G12" s="9">
        <v>10000</v>
      </c>
      <c r="H12" s="15">
        <v>15000</v>
      </c>
      <c r="I12" s="15">
        <v>15000</v>
      </c>
      <c r="J12" s="15">
        <v>15000</v>
      </c>
      <c r="K12" s="9">
        <v>0</v>
      </c>
      <c r="L12" s="9">
        <v>0</v>
      </c>
      <c r="M12" s="15">
        <v>11302</v>
      </c>
      <c r="N12" s="15">
        <v>8991</v>
      </c>
      <c r="O12" s="15"/>
      <c r="P12" s="9">
        <v>0</v>
      </c>
      <c r="Q12" s="9">
        <v>0</v>
      </c>
      <c r="R12" s="9">
        <f t="shared" si="2"/>
        <v>75293</v>
      </c>
    </row>
    <row r="13" spans="1:18" x14ac:dyDescent="0.4">
      <c r="A13" s="266"/>
      <c r="B13" s="254"/>
      <c r="C13" s="268"/>
      <c r="D13" s="212" t="s">
        <v>36</v>
      </c>
      <c r="E13" s="216" t="s">
        <v>125</v>
      </c>
      <c r="F13" s="9">
        <v>0</v>
      </c>
      <c r="G13" s="18">
        <v>3000</v>
      </c>
      <c r="H13" s="9">
        <v>5000</v>
      </c>
      <c r="I13" s="9">
        <v>5000</v>
      </c>
      <c r="J13" s="9">
        <v>8000</v>
      </c>
      <c r="K13" s="9">
        <v>0</v>
      </c>
      <c r="L13" s="9">
        <v>0</v>
      </c>
      <c r="M13" s="9">
        <v>5000</v>
      </c>
      <c r="N13" s="9">
        <v>5000</v>
      </c>
      <c r="O13" s="9"/>
      <c r="P13" s="9">
        <v>0</v>
      </c>
      <c r="Q13" s="9">
        <v>0</v>
      </c>
      <c r="R13" s="9">
        <f t="shared" si="2"/>
        <v>31000</v>
      </c>
    </row>
    <row r="14" spans="1:18" x14ac:dyDescent="0.4">
      <c r="A14" s="266"/>
      <c r="B14" s="254"/>
      <c r="C14" s="268"/>
      <c r="D14" s="212" t="s">
        <v>36</v>
      </c>
      <c r="E14" s="216" t="s">
        <v>126</v>
      </c>
      <c r="F14" s="9">
        <v>0</v>
      </c>
      <c r="G14" s="18">
        <v>3000</v>
      </c>
      <c r="H14" s="9">
        <v>5000</v>
      </c>
      <c r="I14" s="9">
        <v>5400</v>
      </c>
      <c r="J14" s="9">
        <v>5000</v>
      </c>
      <c r="K14" s="9">
        <v>0</v>
      </c>
      <c r="L14" s="9">
        <v>0</v>
      </c>
      <c r="M14" s="9">
        <v>15000</v>
      </c>
      <c r="N14" s="9">
        <v>10000</v>
      </c>
      <c r="O14" s="9"/>
      <c r="P14" s="9">
        <v>0</v>
      </c>
      <c r="Q14" s="9">
        <v>0</v>
      </c>
      <c r="R14" s="9">
        <f t="shared" si="2"/>
        <v>43400</v>
      </c>
    </row>
    <row r="15" spans="1:18" x14ac:dyDescent="0.4">
      <c r="A15" s="266"/>
      <c r="B15" s="254"/>
      <c r="C15" s="268"/>
      <c r="D15" s="211" t="s">
        <v>37</v>
      </c>
      <c r="E15" s="212" t="s">
        <v>38</v>
      </c>
      <c r="F15" s="9">
        <v>0</v>
      </c>
      <c r="G15" s="9">
        <v>3000</v>
      </c>
      <c r="H15" s="9">
        <v>3000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/>
      <c r="P15" s="9">
        <v>0</v>
      </c>
      <c r="Q15" s="9">
        <v>0</v>
      </c>
      <c r="R15" s="9">
        <f t="shared" si="2"/>
        <v>6000</v>
      </c>
    </row>
    <row r="16" spans="1:18" x14ac:dyDescent="0.4">
      <c r="A16" s="266"/>
      <c r="B16" s="254"/>
      <c r="C16" s="268"/>
      <c r="D16" s="212" t="s">
        <v>39</v>
      </c>
      <c r="E16" s="212" t="s">
        <v>127</v>
      </c>
      <c r="F16" s="9">
        <v>0</v>
      </c>
      <c r="G16" s="9">
        <v>0</v>
      </c>
      <c r="H16" s="9">
        <v>5000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f t="shared" si="2"/>
        <v>5000</v>
      </c>
    </row>
    <row r="17" spans="1:18" x14ac:dyDescent="0.4">
      <c r="A17" s="266"/>
      <c r="B17" s="254"/>
      <c r="C17" s="253" t="s">
        <v>40</v>
      </c>
      <c r="D17" s="210" t="s">
        <v>34</v>
      </c>
      <c r="E17" s="212" t="s">
        <v>128</v>
      </c>
      <c r="F17" s="9">
        <v>0</v>
      </c>
      <c r="G17" s="9">
        <v>2473.3000000000002</v>
      </c>
      <c r="H17" s="9">
        <v>5476.6</v>
      </c>
      <c r="I17" s="9">
        <v>5300</v>
      </c>
      <c r="J17" s="9">
        <v>0</v>
      </c>
      <c r="K17" s="9">
        <v>0</v>
      </c>
      <c r="L17" s="9">
        <v>0</v>
      </c>
      <c r="M17" s="9">
        <v>5470</v>
      </c>
      <c r="N17" s="9">
        <v>5300</v>
      </c>
      <c r="O17" s="9">
        <v>0</v>
      </c>
      <c r="P17" s="9">
        <v>0</v>
      </c>
      <c r="Q17" s="9">
        <v>0</v>
      </c>
      <c r="R17" s="9">
        <f t="shared" si="2"/>
        <v>24019.9</v>
      </c>
    </row>
    <row r="18" spans="1:18" x14ac:dyDescent="0.4">
      <c r="A18" s="266"/>
      <c r="B18" s="254"/>
      <c r="C18" s="254"/>
      <c r="D18" s="210" t="s">
        <v>34</v>
      </c>
      <c r="E18" s="212" t="s">
        <v>129</v>
      </c>
      <c r="F18" s="9">
        <v>0</v>
      </c>
      <c r="G18" s="9">
        <v>3686.6</v>
      </c>
      <c r="H18" s="9">
        <v>8163.3</v>
      </c>
      <c r="I18" s="9">
        <v>10500</v>
      </c>
      <c r="J18" s="9">
        <v>10850</v>
      </c>
      <c r="K18" s="9">
        <v>0</v>
      </c>
      <c r="L18" s="9">
        <v>0</v>
      </c>
      <c r="M18" s="9">
        <v>10850</v>
      </c>
      <c r="N18" s="9">
        <v>10500</v>
      </c>
      <c r="O18" s="9">
        <v>0</v>
      </c>
      <c r="P18" s="9">
        <v>0</v>
      </c>
      <c r="Q18" s="9">
        <v>0</v>
      </c>
      <c r="R18" s="9">
        <f t="shared" si="2"/>
        <v>54549.9</v>
      </c>
    </row>
    <row r="19" spans="1:18" x14ac:dyDescent="0.4">
      <c r="A19" s="266"/>
      <c r="B19" s="254"/>
      <c r="C19" s="254"/>
      <c r="D19" s="210" t="s">
        <v>34</v>
      </c>
      <c r="E19" s="212" t="s">
        <v>41</v>
      </c>
      <c r="F19" s="9">
        <v>0</v>
      </c>
      <c r="G19" s="9">
        <v>0</v>
      </c>
      <c r="H19" s="9">
        <v>0</v>
      </c>
      <c r="I19" s="9">
        <v>0</v>
      </c>
      <c r="J19" s="9">
        <v>1030</v>
      </c>
      <c r="K19" s="9">
        <v>1000</v>
      </c>
      <c r="L19" s="9">
        <v>510</v>
      </c>
      <c r="M19" s="9"/>
      <c r="N19" s="9"/>
      <c r="O19" s="9">
        <v>1030</v>
      </c>
      <c r="P19" s="9">
        <v>1000</v>
      </c>
      <c r="Q19" s="9">
        <v>1030</v>
      </c>
      <c r="R19" s="9">
        <f t="shared" si="2"/>
        <v>5600</v>
      </c>
    </row>
    <row r="20" spans="1:18" x14ac:dyDescent="0.4">
      <c r="A20" s="266"/>
      <c r="B20" s="254"/>
      <c r="C20" s="254"/>
      <c r="D20" s="210" t="s">
        <v>34</v>
      </c>
      <c r="E20" s="212" t="s">
        <v>130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6000</v>
      </c>
      <c r="L20" s="9">
        <v>3720</v>
      </c>
      <c r="M20" s="9">
        <v>3000</v>
      </c>
      <c r="N20" s="9"/>
      <c r="O20" s="9">
        <v>5160</v>
      </c>
      <c r="P20" s="9">
        <v>5000</v>
      </c>
      <c r="Q20" s="9">
        <v>6200</v>
      </c>
      <c r="R20" s="9">
        <f t="shared" si="2"/>
        <v>29080</v>
      </c>
    </row>
    <row r="21" spans="1:18" x14ac:dyDescent="0.4">
      <c r="A21" s="266"/>
      <c r="B21" s="256" t="s">
        <v>42</v>
      </c>
      <c r="C21" s="257"/>
      <c r="D21" s="257"/>
      <c r="E21" s="258"/>
      <c r="F21" s="13">
        <f t="shared" ref="F21:R21" si="3">SUM(F8:F20)</f>
        <v>0</v>
      </c>
      <c r="G21" s="13">
        <f t="shared" si="3"/>
        <v>60269.9</v>
      </c>
      <c r="H21" s="13">
        <f t="shared" si="3"/>
        <v>99639.900000000009</v>
      </c>
      <c r="I21" s="13">
        <f t="shared" si="3"/>
        <v>79200</v>
      </c>
      <c r="J21" s="13">
        <f>SUM(J8:J20)</f>
        <v>91770</v>
      </c>
      <c r="K21" s="13">
        <f t="shared" si="3"/>
        <v>7000</v>
      </c>
      <c r="L21" s="13">
        <f t="shared" si="3"/>
        <v>4230</v>
      </c>
      <c r="M21" s="13">
        <f t="shared" si="3"/>
        <v>123660</v>
      </c>
      <c r="N21" s="13">
        <f t="shared" si="3"/>
        <v>97810</v>
      </c>
      <c r="O21" s="13">
        <f t="shared" si="3"/>
        <v>6190</v>
      </c>
      <c r="P21" s="13">
        <f t="shared" si="3"/>
        <v>6000</v>
      </c>
      <c r="Q21" s="13">
        <f t="shared" si="3"/>
        <v>7230</v>
      </c>
      <c r="R21" s="13">
        <f t="shared" si="3"/>
        <v>582999.80000000005</v>
      </c>
    </row>
    <row r="22" spans="1:18" hidden="1" x14ac:dyDescent="0.4">
      <c r="A22" s="266"/>
      <c r="B22" s="217" t="s">
        <v>43</v>
      </c>
      <c r="C22" s="217" t="s">
        <v>20</v>
      </c>
      <c r="D22" s="213" t="s">
        <v>43</v>
      </c>
      <c r="E22" s="22" t="s">
        <v>44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" si="4">SUM(F22:Q22)</f>
        <v>0</v>
      </c>
    </row>
    <row r="23" spans="1:18" hidden="1" x14ac:dyDescent="0.4">
      <c r="A23" s="266"/>
      <c r="B23" s="256" t="s">
        <v>45</v>
      </c>
      <c r="C23" s="257"/>
      <c r="D23" s="257"/>
      <c r="E23" s="258"/>
      <c r="F23" s="13">
        <f t="shared" ref="F23:R23" si="5">SUM(F22:F22)</f>
        <v>0</v>
      </c>
      <c r="G23" s="13">
        <f t="shared" si="5"/>
        <v>0</v>
      </c>
      <c r="H23" s="13">
        <f t="shared" si="5"/>
        <v>0</v>
      </c>
      <c r="I23" s="13">
        <f t="shared" si="5"/>
        <v>0</v>
      </c>
      <c r="J23" s="13">
        <f t="shared" si="5"/>
        <v>0</v>
      </c>
      <c r="K23" s="13">
        <f t="shared" si="5"/>
        <v>0</v>
      </c>
      <c r="L23" s="13">
        <f t="shared" si="5"/>
        <v>0</v>
      </c>
      <c r="M23" s="13">
        <f t="shared" si="5"/>
        <v>0</v>
      </c>
      <c r="N23" s="13">
        <f t="shared" si="5"/>
        <v>0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</row>
    <row r="24" spans="1:18" x14ac:dyDescent="0.4">
      <c r="A24" s="266"/>
      <c r="B24" s="269" t="s">
        <v>46</v>
      </c>
      <c r="C24" s="253" t="s">
        <v>20</v>
      </c>
      <c r="D24" s="253" t="s">
        <v>47</v>
      </c>
      <c r="E24" s="135" t="s">
        <v>132</v>
      </c>
      <c r="F24" s="9">
        <v>0</v>
      </c>
      <c r="G24" s="9">
        <v>0</v>
      </c>
      <c r="H24" s="9">
        <v>27800</v>
      </c>
      <c r="I24" s="9">
        <v>30800</v>
      </c>
      <c r="J24" s="9">
        <v>30800</v>
      </c>
      <c r="K24" s="9">
        <v>0</v>
      </c>
      <c r="L24" s="9">
        <v>0</v>
      </c>
      <c r="M24" s="9">
        <v>32200</v>
      </c>
      <c r="N24" s="9">
        <v>32200</v>
      </c>
      <c r="O24" s="9">
        <v>1100</v>
      </c>
      <c r="P24" s="9">
        <v>0</v>
      </c>
      <c r="Q24" s="9">
        <v>0</v>
      </c>
      <c r="R24" s="9">
        <f t="shared" ref="R24:R29" si="6">SUM(F24:Q24)</f>
        <v>154900</v>
      </c>
    </row>
    <row r="25" spans="1:18" x14ac:dyDescent="0.4">
      <c r="A25" s="266"/>
      <c r="B25" s="270"/>
      <c r="C25" s="254"/>
      <c r="D25" s="254"/>
      <c r="E25" s="135" t="s">
        <v>134</v>
      </c>
      <c r="F25" s="9"/>
      <c r="G25" s="9"/>
      <c r="H25" s="9">
        <v>4600</v>
      </c>
      <c r="I25" s="9">
        <v>4600</v>
      </c>
      <c r="J25" s="9">
        <v>4600</v>
      </c>
      <c r="K25" s="9">
        <v>4600</v>
      </c>
      <c r="L25" s="9">
        <v>4600</v>
      </c>
      <c r="M25" s="9">
        <v>4600</v>
      </c>
      <c r="N25" s="9">
        <v>4600</v>
      </c>
      <c r="O25" s="9">
        <v>4600</v>
      </c>
      <c r="P25" s="9"/>
      <c r="Q25" s="9"/>
      <c r="R25" s="9">
        <f t="shared" si="6"/>
        <v>36800</v>
      </c>
    </row>
    <row r="26" spans="1:18" x14ac:dyDescent="0.4">
      <c r="A26" s="266"/>
      <c r="B26" s="270"/>
      <c r="C26" s="254"/>
      <c r="D26" s="254"/>
      <c r="E26" s="135" t="s">
        <v>133</v>
      </c>
      <c r="F26" s="9"/>
      <c r="G26" s="9"/>
      <c r="H26" s="9">
        <v>18000</v>
      </c>
      <c r="I26" s="9">
        <v>18000</v>
      </c>
      <c r="J26" s="9">
        <v>18000</v>
      </c>
      <c r="K26" s="9"/>
      <c r="L26" s="9"/>
      <c r="M26" s="9">
        <v>18000</v>
      </c>
      <c r="N26" s="9">
        <v>18000</v>
      </c>
      <c r="O26" s="9"/>
      <c r="P26" s="9"/>
      <c r="Q26" s="9"/>
      <c r="R26" s="9">
        <f t="shared" si="6"/>
        <v>90000</v>
      </c>
    </row>
    <row r="27" spans="1:18" x14ac:dyDescent="0.4">
      <c r="A27" s="266"/>
      <c r="B27" s="270"/>
      <c r="C27" s="255"/>
      <c r="D27" s="255"/>
      <c r="E27" s="22" t="s">
        <v>131</v>
      </c>
      <c r="F27" s="9"/>
      <c r="G27" s="9"/>
      <c r="H27" s="9">
        <v>0</v>
      </c>
      <c r="I27" s="9">
        <v>91100</v>
      </c>
      <c r="J27" s="9"/>
      <c r="K27" s="9"/>
      <c r="L27" s="9"/>
      <c r="M27" s="9"/>
      <c r="N27" s="9"/>
      <c r="O27" s="9"/>
      <c r="P27" s="9"/>
      <c r="Q27" s="9"/>
      <c r="R27" s="9">
        <f t="shared" si="6"/>
        <v>91100</v>
      </c>
    </row>
    <row r="28" spans="1:18" hidden="1" x14ac:dyDescent="0.4">
      <c r="A28" s="266"/>
      <c r="B28" s="270"/>
      <c r="C28" s="253" t="s">
        <v>48</v>
      </c>
      <c r="D28" s="253" t="s">
        <v>48</v>
      </c>
      <c r="E28" s="22" t="s">
        <v>135</v>
      </c>
      <c r="F28" s="9">
        <v>0</v>
      </c>
      <c r="G28" s="9">
        <v>0</v>
      </c>
      <c r="H28" s="138"/>
      <c r="I28" s="9"/>
      <c r="J28" s="9"/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f t="shared" si="6"/>
        <v>0</v>
      </c>
    </row>
    <row r="29" spans="1:18" x14ac:dyDescent="0.4">
      <c r="A29" s="266"/>
      <c r="B29" s="270"/>
      <c r="C29" s="255"/>
      <c r="D29" s="255"/>
      <c r="E29" s="22" t="s">
        <v>138</v>
      </c>
      <c r="F29" s="9">
        <v>0</v>
      </c>
      <c r="G29" s="9">
        <v>0</v>
      </c>
      <c r="H29" s="9">
        <v>85000</v>
      </c>
      <c r="I29" s="9"/>
      <c r="J29" s="9"/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f t="shared" si="6"/>
        <v>85000</v>
      </c>
    </row>
    <row r="30" spans="1:18" x14ac:dyDescent="0.4">
      <c r="A30" s="266"/>
      <c r="B30" s="256" t="s">
        <v>49</v>
      </c>
      <c r="C30" s="257"/>
      <c r="D30" s="257"/>
      <c r="E30" s="258"/>
      <c r="F30" s="13">
        <f>SUM(F24:F29)</f>
        <v>0</v>
      </c>
      <c r="G30" s="13">
        <f>SUM(G24:G29)</f>
        <v>0</v>
      </c>
      <c r="H30" s="13">
        <f t="shared" ref="H30:Q30" si="7">SUM(H24:H29)</f>
        <v>135400</v>
      </c>
      <c r="I30" s="13">
        <f t="shared" si="7"/>
        <v>144500</v>
      </c>
      <c r="J30" s="13">
        <f t="shared" si="7"/>
        <v>53400</v>
      </c>
      <c r="K30" s="13">
        <f t="shared" si="7"/>
        <v>4600</v>
      </c>
      <c r="L30" s="13">
        <f t="shared" si="7"/>
        <v>4600</v>
      </c>
      <c r="M30" s="13">
        <f t="shared" si="7"/>
        <v>54800</v>
      </c>
      <c r="N30" s="13">
        <f t="shared" si="7"/>
        <v>54800</v>
      </c>
      <c r="O30" s="13">
        <f t="shared" si="7"/>
        <v>5700</v>
      </c>
      <c r="P30" s="13">
        <f t="shared" si="7"/>
        <v>0</v>
      </c>
      <c r="Q30" s="13">
        <f t="shared" si="7"/>
        <v>0</v>
      </c>
      <c r="R30" s="13">
        <f>SUM(R24:R29)</f>
        <v>457800</v>
      </c>
    </row>
    <row r="31" spans="1:18" hidden="1" x14ac:dyDescent="0.4">
      <c r="A31" s="266"/>
      <c r="B31" s="217" t="s">
        <v>50</v>
      </c>
      <c r="C31" s="213" t="s">
        <v>20</v>
      </c>
      <c r="D31" s="213" t="s">
        <v>51</v>
      </c>
      <c r="E31" s="22" t="s">
        <v>52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/>
      <c r="O31" s="9">
        <v>0</v>
      </c>
      <c r="P31" s="9">
        <v>0</v>
      </c>
      <c r="Q31" s="9">
        <v>0</v>
      </c>
      <c r="R31" s="9">
        <f>J31</f>
        <v>0</v>
      </c>
    </row>
    <row r="32" spans="1:18" hidden="1" x14ac:dyDescent="0.4">
      <c r="A32" s="267"/>
      <c r="B32" s="256" t="s">
        <v>53</v>
      </c>
      <c r="C32" s="257"/>
      <c r="D32" s="257"/>
      <c r="E32" s="258"/>
      <c r="F32" s="13">
        <f t="shared" ref="F32:R32" si="8">SUM(F31:F31)</f>
        <v>0</v>
      </c>
      <c r="G32" s="13">
        <f t="shared" si="8"/>
        <v>0</v>
      </c>
      <c r="H32" s="13">
        <f t="shared" si="8"/>
        <v>0</v>
      </c>
      <c r="I32" s="13">
        <f t="shared" si="8"/>
        <v>0</v>
      </c>
      <c r="J32" s="13">
        <f t="shared" si="8"/>
        <v>0</v>
      </c>
      <c r="K32" s="13">
        <f t="shared" si="8"/>
        <v>0</v>
      </c>
      <c r="L32" s="13">
        <f t="shared" si="8"/>
        <v>0</v>
      </c>
      <c r="M32" s="13">
        <f t="shared" si="8"/>
        <v>0</v>
      </c>
      <c r="N32" s="13">
        <f t="shared" si="8"/>
        <v>0</v>
      </c>
      <c r="O32" s="13">
        <f t="shared" si="8"/>
        <v>0</v>
      </c>
      <c r="P32" s="13">
        <f t="shared" si="8"/>
        <v>0</v>
      </c>
      <c r="Q32" s="13">
        <f t="shared" si="8"/>
        <v>0</v>
      </c>
      <c r="R32" s="13">
        <f t="shared" si="8"/>
        <v>0</v>
      </c>
    </row>
    <row r="33" spans="1:22" x14ac:dyDescent="0.4">
      <c r="A33" s="259" t="s">
        <v>54</v>
      </c>
      <c r="B33" s="259"/>
      <c r="C33" s="259"/>
      <c r="D33" s="259"/>
      <c r="E33" s="259"/>
      <c r="F33" s="23">
        <f>F7+F21</f>
        <v>0</v>
      </c>
      <c r="G33" s="23">
        <f>G7+G21</f>
        <v>360269.9</v>
      </c>
      <c r="H33" s="23">
        <f>H7+H21+H30+H32</f>
        <v>1035039.9</v>
      </c>
      <c r="I33" s="23">
        <f>I7+I21+I23+I30+I32</f>
        <v>1023700</v>
      </c>
      <c r="J33" s="23">
        <f>J7+J21+J23+J30+J32</f>
        <v>445170</v>
      </c>
      <c r="K33" s="23">
        <f>K7+K21+K30+K32</f>
        <v>11600</v>
      </c>
      <c r="L33" s="23">
        <f>L7+L21+L30+L32</f>
        <v>8830</v>
      </c>
      <c r="M33" s="23">
        <f>M7+M21+M30+M32</f>
        <v>468460</v>
      </c>
      <c r="N33" s="23">
        <f>N7+N21+N30+N32</f>
        <v>362610</v>
      </c>
      <c r="O33" s="23">
        <f>O7+O21+O30+O32</f>
        <v>11890</v>
      </c>
      <c r="P33" s="23">
        <f t="shared" ref="P33:Q33" si="9">P7+P21+P30+P32</f>
        <v>6000</v>
      </c>
      <c r="Q33" s="23">
        <f t="shared" si="9"/>
        <v>7230</v>
      </c>
      <c r="R33" s="23">
        <f>R7+R21+R23+R30+R32</f>
        <v>3740799.8</v>
      </c>
      <c r="T33" s="34"/>
      <c r="U33" s="34"/>
    </row>
    <row r="34" spans="1:22" hidden="1" x14ac:dyDescent="0.4">
      <c r="A34" s="236" t="s">
        <v>55</v>
      </c>
      <c r="B34" s="238" t="s">
        <v>19</v>
      </c>
      <c r="C34" s="240" t="s">
        <v>55</v>
      </c>
      <c r="D34" s="238" t="s">
        <v>56</v>
      </c>
      <c r="E34" s="212" t="s">
        <v>57</v>
      </c>
      <c r="F34" s="9">
        <v>0</v>
      </c>
      <c r="G34" s="9"/>
      <c r="H34" s="9"/>
      <c r="I34" s="9">
        <v>0</v>
      </c>
      <c r="J34" s="9">
        <v>0</v>
      </c>
      <c r="K34" s="9">
        <v>0</v>
      </c>
      <c r="L34" s="9">
        <v>0</v>
      </c>
      <c r="M34" s="10">
        <v>0</v>
      </c>
      <c r="N34" s="9">
        <v>0</v>
      </c>
      <c r="O34" s="9">
        <v>0</v>
      </c>
      <c r="P34" s="9">
        <v>0</v>
      </c>
      <c r="Q34" s="9"/>
      <c r="R34" s="9">
        <f t="shared" ref="R34:R37" si="10">SUM(F34:Q34)</f>
        <v>0</v>
      </c>
    </row>
    <row r="35" spans="1:22" hidden="1" x14ac:dyDescent="0.4">
      <c r="A35" s="237"/>
      <c r="B35" s="242"/>
      <c r="C35" s="241"/>
      <c r="D35" s="239"/>
      <c r="E35" s="212" t="s">
        <v>58</v>
      </c>
      <c r="F35" s="9"/>
      <c r="G35" s="9"/>
      <c r="H35" s="9"/>
      <c r="I35" s="9"/>
      <c r="J35" s="9"/>
      <c r="K35" s="9"/>
      <c r="L35" s="9"/>
      <c r="M35" s="10"/>
      <c r="N35" s="9"/>
      <c r="O35" s="9"/>
      <c r="P35" s="9"/>
      <c r="Q35" s="9"/>
      <c r="R35" s="9">
        <f t="shared" si="10"/>
        <v>0</v>
      </c>
    </row>
    <row r="36" spans="1:22" x14ac:dyDescent="0.4">
      <c r="A36" s="237"/>
      <c r="B36" s="239"/>
      <c r="C36" s="241"/>
      <c r="D36" s="210" t="s">
        <v>55</v>
      </c>
      <c r="E36" s="212" t="s">
        <v>59</v>
      </c>
      <c r="F36" s="9">
        <v>0</v>
      </c>
      <c r="G36" s="9">
        <v>0</v>
      </c>
      <c r="H36" s="9">
        <f>15000*1.1765</f>
        <v>17647.5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f>SUM(F36:Q36)</f>
        <v>17647.5</v>
      </c>
      <c r="U36" s="34"/>
    </row>
    <row r="37" spans="1:22" ht="17.399999999999999" hidden="1" customHeight="1" x14ac:dyDescent="0.4">
      <c r="A37" s="237"/>
      <c r="B37" s="238" t="s">
        <v>26</v>
      </c>
      <c r="C37" s="242"/>
      <c r="D37" s="238" t="s">
        <v>60</v>
      </c>
      <c r="E37" s="25" t="s">
        <v>61</v>
      </c>
      <c r="F37" s="9">
        <v>0</v>
      </c>
      <c r="G37" s="9"/>
      <c r="H37" s="9"/>
      <c r="I37" s="9"/>
      <c r="J37" s="9"/>
      <c r="K37" s="9"/>
      <c r="L37" s="9"/>
      <c r="M37" s="9"/>
      <c r="N37" s="9"/>
      <c r="O37" s="9">
        <v>0</v>
      </c>
      <c r="P37" s="9"/>
      <c r="Q37" s="9"/>
      <c r="R37" s="9">
        <f t="shared" si="10"/>
        <v>0</v>
      </c>
    </row>
    <row r="38" spans="1:22" x14ac:dyDescent="0.4">
      <c r="A38" s="237"/>
      <c r="B38" s="242"/>
      <c r="C38" s="242"/>
      <c r="D38" s="242"/>
      <c r="E38" s="25" t="s">
        <v>62</v>
      </c>
      <c r="F38" s="9">
        <v>0</v>
      </c>
      <c r="G38" s="9">
        <f>14110*1.1765</f>
        <v>16600.415000000001</v>
      </c>
      <c r="H38" s="9"/>
      <c r="I38" s="9"/>
      <c r="J38" s="9"/>
      <c r="K38" s="9"/>
      <c r="L38" s="9">
        <v>0</v>
      </c>
      <c r="M38" s="9">
        <v>0</v>
      </c>
      <c r="N38" s="9">
        <v>0</v>
      </c>
      <c r="O38" s="169"/>
      <c r="P38" s="151">
        <f>(3900*1.1765)+130</f>
        <v>4718.3500000000004</v>
      </c>
      <c r="Q38" s="9">
        <v>0</v>
      </c>
      <c r="R38" s="9">
        <f>SUM(F38:Q38)</f>
        <v>21318.764999999999</v>
      </c>
    </row>
    <row r="39" spans="1:22" x14ac:dyDescent="0.4">
      <c r="A39" s="237"/>
      <c r="B39" s="242"/>
      <c r="C39" s="242"/>
      <c r="D39" s="239"/>
      <c r="E39" s="25" t="s">
        <v>122</v>
      </c>
      <c r="F39" s="9"/>
      <c r="G39" s="9"/>
      <c r="H39" s="9"/>
      <c r="I39" s="9"/>
      <c r="J39" s="9"/>
      <c r="K39" s="9"/>
      <c r="L39" s="9"/>
      <c r="M39" s="9"/>
      <c r="N39" s="220"/>
      <c r="O39" s="169"/>
      <c r="P39" s="169"/>
      <c r="Q39" s="9">
        <v>0</v>
      </c>
      <c r="R39" s="9">
        <f t="shared" ref="R39:R52" si="11">SUM(F39:Q39)</f>
        <v>0</v>
      </c>
    </row>
    <row r="40" spans="1:22" ht="17.399999999999999" hidden="1" customHeight="1" x14ac:dyDescent="0.4">
      <c r="A40" s="237"/>
      <c r="B40" s="242"/>
      <c r="C40" s="242"/>
      <c r="D40" s="212" t="s">
        <v>63</v>
      </c>
      <c r="E40" s="25" t="s">
        <v>64</v>
      </c>
      <c r="F40" s="9"/>
      <c r="G40" s="9"/>
      <c r="H40" s="9"/>
      <c r="I40" s="9"/>
      <c r="J40" s="9"/>
      <c r="K40" s="9"/>
      <c r="L40" s="9"/>
      <c r="M40" s="9"/>
      <c r="N40" s="9"/>
      <c r="O40" s="169"/>
      <c r="P40" s="169"/>
      <c r="Q40" s="9">
        <v>0</v>
      </c>
      <c r="R40" s="9">
        <f t="shared" si="11"/>
        <v>0</v>
      </c>
    </row>
    <row r="41" spans="1:22" ht="17.399999999999999" hidden="1" customHeight="1" x14ac:dyDescent="0.4">
      <c r="A41" s="237"/>
      <c r="B41" s="242"/>
      <c r="C41" s="242"/>
      <c r="D41" s="212" t="s">
        <v>65</v>
      </c>
      <c r="E41" s="25" t="s">
        <v>66</v>
      </c>
      <c r="F41" s="9"/>
      <c r="G41" s="9"/>
      <c r="H41" s="9"/>
      <c r="I41" s="9"/>
      <c r="J41" s="9"/>
      <c r="K41" s="9"/>
      <c r="L41" s="9"/>
      <c r="M41" s="9"/>
      <c r="N41" s="9"/>
      <c r="O41" s="222"/>
      <c r="P41" s="169"/>
      <c r="Q41" s="9">
        <v>0</v>
      </c>
      <c r="R41" s="9">
        <f t="shared" si="11"/>
        <v>0</v>
      </c>
    </row>
    <row r="42" spans="1:22" x14ac:dyDescent="0.4">
      <c r="A42" s="237"/>
      <c r="B42" s="242"/>
      <c r="C42" s="242"/>
      <c r="D42" s="212" t="s">
        <v>65</v>
      </c>
      <c r="E42" s="25" t="s">
        <v>67</v>
      </c>
      <c r="F42" s="9">
        <v>0</v>
      </c>
      <c r="G42" s="9">
        <f>1550*1.1765</f>
        <v>1823.575</v>
      </c>
      <c r="H42" s="9"/>
      <c r="I42" s="9"/>
      <c r="J42" s="9">
        <v>2823.6</v>
      </c>
      <c r="K42" s="9"/>
      <c r="L42" s="9"/>
      <c r="M42" s="9">
        <v>2823.6</v>
      </c>
      <c r="N42" s="9"/>
      <c r="O42" s="169">
        <v>0</v>
      </c>
      <c r="P42" s="169"/>
      <c r="Q42" s="9">
        <v>0</v>
      </c>
      <c r="R42" s="9">
        <f t="shared" si="11"/>
        <v>7470.7749999999996</v>
      </c>
    </row>
    <row r="43" spans="1:22" x14ac:dyDescent="0.4">
      <c r="A43" s="237"/>
      <c r="B43" s="242"/>
      <c r="C43" s="242"/>
      <c r="D43" s="238" t="s">
        <v>55</v>
      </c>
      <c r="E43" s="25" t="s">
        <v>137</v>
      </c>
      <c r="F43" s="9">
        <v>0</v>
      </c>
      <c r="G43" s="9">
        <v>0</v>
      </c>
      <c r="H43" s="9">
        <f>47000*1.1765</f>
        <v>55295.500000000007</v>
      </c>
      <c r="I43" s="9"/>
      <c r="J43" s="9"/>
      <c r="K43" s="9"/>
      <c r="L43" s="9"/>
      <c r="M43" s="9"/>
      <c r="N43" s="9"/>
      <c r="O43" s="169">
        <f>1000*1.1765</f>
        <v>1176.5</v>
      </c>
      <c r="P43" s="151">
        <v>51530.7</v>
      </c>
      <c r="Q43" s="9">
        <v>0</v>
      </c>
      <c r="R43" s="9">
        <f t="shared" si="11"/>
        <v>108002.70000000001</v>
      </c>
      <c r="T43" s="154"/>
      <c r="U43" s="34"/>
      <c r="V43" s="34"/>
    </row>
    <row r="44" spans="1:22" hidden="1" x14ac:dyDescent="0.4">
      <c r="A44" s="237"/>
      <c r="B44" s="242"/>
      <c r="C44" s="242"/>
      <c r="D44" s="239"/>
      <c r="E44" s="25" t="s">
        <v>122</v>
      </c>
      <c r="F44" s="9"/>
      <c r="G44" s="9"/>
      <c r="H44" s="9"/>
      <c r="I44" s="9"/>
      <c r="J44" s="9"/>
      <c r="K44" s="9"/>
      <c r="L44" s="9"/>
      <c r="M44" s="9"/>
      <c r="N44" s="9"/>
      <c r="O44" s="169"/>
      <c r="P44" s="169"/>
      <c r="Q44" s="9"/>
      <c r="R44" s="9">
        <f t="shared" si="11"/>
        <v>0</v>
      </c>
    </row>
    <row r="45" spans="1:22" x14ac:dyDescent="0.4">
      <c r="A45" s="237"/>
      <c r="B45" s="239"/>
      <c r="C45" s="242"/>
      <c r="D45" s="212" t="s">
        <v>68</v>
      </c>
      <c r="E45" s="25" t="s">
        <v>69</v>
      </c>
      <c r="F45" s="9">
        <v>0</v>
      </c>
      <c r="G45" s="169">
        <v>1172</v>
      </c>
      <c r="H45" s="9">
        <f>(2000*1.1765)+220</f>
        <v>2573</v>
      </c>
      <c r="I45" s="9">
        <v>0</v>
      </c>
      <c r="J45" s="9"/>
      <c r="K45" s="9">
        <v>0</v>
      </c>
      <c r="L45" s="9">
        <v>0</v>
      </c>
      <c r="M45" s="9">
        <v>0</v>
      </c>
      <c r="N45" s="9">
        <v>0</v>
      </c>
      <c r="O45" s="169">
        <v>871.7</v>
      </c>
      <c r="P45" s="151">
        <v>264</v>
      </c>
      <c r="Q45" s="9">
        <v>0</v>
      </c>
      <c r="R45" s="9">
        <f t="shared" si="11"/>
        <v>4880.7</v>
      </c>
      <c r="T45" s="154"/>
    </row>
    <row r="46" spans="1:22" hidden="1" x14ac:dyDescent="0.4">
      <c r="A46" s="237"/>
      <c r="B46" s="211" t="s">
        <v>43</v>
      </c>
      <c r="C46" s="242"/>
      <c r="D46" s="212" t="s">
        <v>65</v>
      </c>
      <c r="E46" s="25" t="s">
        <v>70</v>
      </c>
      <c r="F46" s="9"/>
      <c r="G46" s="9"/>
      <c r="H46" s="9"/>
      <c r="I46" s="9"/>
      <c r="J46" s="9"/>
      <c r="K46" s="9"/>
      <c r="L46" s="9"/>
      <c r="M46" s="9"/>
      <c r="N46" s="9"/>
      <c r="O46" s="169"/>
      <c r="P46" s="169"/>
      <c r="Q46" s="9">
        <v>0</v>
      </c>
      <c r="R46" s="9">
        <f t="shared" si="11"/>
        <v>0</v>
      </c>
    </row>
    <row r="47" spans="1:22" x14ac:dyDescent="0.4">
      <c r="A47" s="237"/>
      <c r="B47" s="238" t="s">
        <v>71</v>
      </c>
      <c r="C47" s="242"/>
      <c r="D47" s="212" t="s">
        <v>65</v>
      </c>
      <c r="E47" s="25" t="s">
        <v>142</v>
      </c>
      <c r="F47" s="9">
        <v>0</v>
      </c>
      <c r="G47" s="9">
        <f>1800*1.1765</f>
        <v>2117.7000000000003</v>
      </c>
      <c r="H47" s="9">
        <v>0</v>
      </c>
      <c r="I47" s="9"/>
      <c r="J47" s="9"/>
      <c r="K47" s="9">
        <v>1079</v>
      </c>
      <c r="L47" s="9"/>
      <c r="M47" s="9">
        <v>1965</v>
      </c>
      <c r="N47" s="9"/>
      <c r="O47" s="169">
        <v>3823.6</v>
      </c>
      <c r="P47" s="151">
        <v>2141.1999999999998</v>
      </c>
      <c r="Q47" s="9">
        <v>0</v>
      </c>
      <c r="R47" s="9">
        <f t="shared" si="11"/>
        <v>11126.5</v>
      </c>
      <c r="T47" s="154"/>
      <c r="U47" s="34"/>
    </row>
    <row r="48" spans="1:22" x14ac:dyDescent="0.4">
      <c r="A48" s="237"/>
      <c r="B48" s="239"/>
      <c r="C48" s="242"/>
      <c r="D48" s="212" t="s">
        <v>141</v>
      </c>
      <c r="E48" s="25" t="s">
        <v>143</v>
      </c>
      <c r="F48" s="9">
        <v>0</v>
      </c>
      <c r="G48" s="9"/>
      <c r="H48" s="9">
        <v>5360</v>
      </c>
      <c r="I48" s="9">
        <v>8400</v>
      </c>
      <c r="J48" s="9"/>
      <c r="K48" s="9"/>
      <c r="L48" s="9"/>
      <c r="M48" s="9">
        <v>4032.9</v>
      </c>
      <c r="N48" s="9"/>
      <c r="O48" s="169"/>
      <c r="P48" s="169">
        <v>0</v>
      </c>
      <c r="Q48" s="9">
        <v>0</v>
      </c>
      <c r="R48" s="9">
        <f>SUM(F48:Q48)</f>
        <v>17792.900000000001</v>
      </c>
    </row>
    <row r="49" spans="1:21" x14ac:dyDescent="0.4">
      <c r="A49" s="237"/>
      <c r="B49" s="238" t="s">
        <v>72</v>
      </c>
      <c r="C49" s="242"/>
      <c r="D49" s="27" t="s">
        <v>73</v>
      </c>
      <c r="E49" s="212" t="s">
        <v>74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15">
        <v>0</v>
      </c>
      <c r="L49" s="15">
        <v>0</v>
      </c>
      <c r="M49" s="15">
        <v>0</v>
      </c>
      <c r="N49" s="15">
        <v>0</v>
      </c>
      <c r="O49" s="169">
        <f>47000*1.1765</f>
        <v>55295.500000000007</v>
      </c>
      <c r="P49" s="169">
        <v>0</v>
      </c>
      <c r="Q49" s="9">
        <v>0</v>
      </c>
      <c r="R49" s="9">
        <f t="shared" si="11"/>
        <v>55295.500000000007</v>
      </c>
    </row>
    <row r="50" spans="1:21" x14ac:dyDescent="0.4">
      <c r="A50" s="237"/>
      <c r="B50" s="242"/>
      <c r="C50" s="242"/>
      <c r="D50" s="240" t="s">
        <v>75</v>
      </c>
      <c r="E50" s="212" t="s">
        <v>136</v>
      </c>
      <c r="F50" s="9">
        <v>0</v>
      </c>
      <c r="G50" s="9">
        <v>0</v>
      </c>
      <c r="H50" s="9">
        <v>6420</v>
      </c>
      <c r="I50" s="9">
        <v>0</v>
      </c>
      <c r="J50" s="9">
        <v>1980</v>
      </c>
      <c r="K50" s="15">
        <v>0</v>
      </c>
      <c r="L50" s="15">
        <v>0</v>
      </c>
      <c r="M50" s="15">
        <v>3000</v>
      </c>
      <c r="N50" s="15">
        <v>0</v>
      </c>
      <c r="O50" s="169">
        <f>60*44</f>
        <v>2640</v>
      </c>
      <c r="P50" s="151">
        <v>1200</v>
      </c>
      <c r="Q50" s="9"/>
      <c r="R50" s="9">
        <f t="shared" si="11"/>
        <v>15240</v>
      </c>
      <c r="T50" s="154"/>
    </row>
    <row r="51" spans="1:21" x14ac:dyDescent="0.4">
      <c r="A51" s="237"/>
      <c r="B51" s="242"/>
      <c r="C51" s="242"/>
      <c r="D51" s="241"/>
      <c r="E51" s="212" t="s">
        <v>76</v>
      </c>
      <c r="F51" s="9">
        <v>0</v>
      </c>
      <c r="G51" s="9">
        <v>360</v>
      </c>
      <c r="H51" s="9">
        <v>0</v>
      </c>
      <c r="I51" s="9">
        <v>0</v>
      </c>
      <c r="J51" s="9">
        <v>0</v>
      </c>
      <c r="K51" s="15">
        <v>0</v>
      </c>
      <c r="L51" s="15"/>
      <c r="M51" s="15">
        <v>0</v>
      </c>
      <c r="N51" s="15">
        <v>0</v>
      </c>
      <c r="O51" s="9">
        <v>0</v>
      </c>
      <c r="P51" s="9">
        <v>0</v>
      </c>
      <c r="Q51" s="9">
        <v>0</v>
      </c>
      <c r="R51" s="9">
        <f t="shared" si="11"/>
        <v>360</v>
      </c>
      <c r="U51" s="34"/>
    </row>
    <row r="52" spans="1:21" hidden="1" x14ac:dyDescent="0.4">
      <c r="A52" s="260"/>
      <c r="B52" s="239"/>
      <c r="C52" s="239"/>
      <c r="D52" s="244"/>
      <c r="E52" s="212" t="s">
        <v>77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15">
        <v>0</v>
      </c>
      <c r="L52" s="15"/>
      <c r="M52" s="15">
        <v>0</v>
      </c>
      <c r="N52" s="15">
        <v>0</v>
      </c>
      <c r="O52" s="9">
        <v>0</v>
      </c>
      <c r="P52" s="9">
        <v>0</v>
      </c>
      <c r="Q52" s="9">
        <v>0</v>
      </c>
      <c r="R52" s="9">
        <f t="shared" si="11"/>
        <v>0</v>
      </c>
    </row>
    <row r="53" spans="1:21" x14ac:dyDescent="0.4">
      <c r="A53" s="245" t="s">
        <v>78</v>
      </c>
      <c r="B53" s="245"/>
      <c r="C53" s="245"/>
      <c r="D53" s="245"/>
      <c r="E53" s="245"/>
      <c r="F53" s="28">
        <f>SUM(F34:F49)</f>
        <v>0</v>
      </c>
      <c r="G53" s="28">
        <f t="shared" ref="G53:R53" si="12">SUM(G34:G52)</f>
        <v>22073.690000000002</v>
      </c>
      <c r="H53" s="28">
        <f t="shared" si="12"/>
        <v>87296</v>
      </c>
      <c r="I53" s="28">
        <f t="shared" si="12"/>
        <v>8400</v>
      </c>
      <c r="J53" s="28">
        <f t="shared" si="12"/>
        <v>4803.6000000000004</v>
      </c>
      <c r="K53" s="28">
        <f t="shared" si="12"/>
        <v>1079</v>
      </c>
      <c r="L53" s="28">
        <f t="shared" si="12"/>
        <v>0</v>
      </c>
      <c r="M53" s="28">
        <f>SUM(M34:M52)</f>
        <v>11821.5</v>
      </c>
      <c r="N53" s="29">
        <f t="shared" si="12"/>
        <v>0</v>
      </c>
      <c r="O53" s="28">
        <f>SUM(O34:O52)</f>
        <v>63807.3</v>
      </c>
      <c r="P53" s="28">
        <f>SUM(P34:P52)</f>
        <v>59854.249999999993</v>
      </c>
      <c r="Q53" s="28">
        <f t="shared" si="12"/>
        <v>0</v>
      </c>
      <c r="R53" s="30">
        <f t="shared" si="12"/>
        <v>259135.34000000003</v>
      </c>
      <c r="T53" s="154"/>
      <c r="U53" s="34"/>
    </row>
    <row r="54" spans="1:21" x14ac:dyDescent="0.4">
      <c r="A54" s="246" t="s">
        <v>79</v>
      </c>
      <c r="B54" s="246"/>
      <c r="C54" s="246"/>
      <c r="D54" s="246"/>
      <c r="E54" s="246"/>
      <c r="F54" s="31">
        <f>SUM(F33,F53)</f>
        <v>0</v>
      </c>
      <c r="G54" s="31">
        <f t="shared" ref="G54:O54" si="13">G33+G53</f>
        <v>382343.59</v>
      </c>
      <c r="H54" s="31">
        <f t="shared" si="13"/>
        <v>1122335.8999999999</v>
      </c>
      <c r="I54" s="31">
        <f t="shared" si="13"/>
        <v>1032100</v>
      </c>
      <c r="J54" s="31">
        <f t="shared" si="13"/>
        <v>449973.6</v>
      </c>
      <c r="K54" s="31">
        <f t="shared" si="13"/>
        <v>12679</v>
      </c>
      <c r="L54" s="31">
        <f t="shared" si="13"/>
        <v>8830</v>
      </c>
      <c r="M54" s="31">
        <f t="shared" si="13"/>
        <v>480281.5</v>
      </c>
      <c r="N54" s="31">
        <f t="shared" si="13"/>
        <v>362610</v>
      </c>
      <c r="O54" s="31">
        <f t="shared" si="13"/>
        <v>75697.3</v>
      </c>
      <c r="P54" s="31">
        <f>SUM(P33,P53)</f>
        <v>65854.25</v>
      </c>
      <c r="Q54" s="31">
        <f>SUM(Q33,Q53)</f>
        <v>7230</v>
      </c>
      <c r="R54" s="31">
        <f>R33+R53</f>
        <v>3999935.1399999997</v>
      </c>
    </row>
    <row r="55" spans="1:21" x14ac:dyDescent="0.4">
      <c r="A55" s="234" t="s">
        <v>80</v>
      </c>
      <c r="B55" s="234"/>
      <c r="C55" s="234"/>
      <c r="D55" s="234"/>
      <c r="E55" s="234"/>
      <c r="F55" s="32">
        <f>F33+F53</f>
        <v>0</v>
      </c>
      <c r="G55" s="32">
        <f>G33+G53</f>
        <v>382343.59</v>
      </c>
      <c r="H55" s="32">
        <f>SUM(H54:H54)</f>
        <v>1122335.8999999999</v>
      </c>
      <c r="I55" s="32">
        <f>SUM(I54:I54)</f>
        <v>1032100</v>
      </c>
      <c r="J55" s="32">
        <f t="shared" ref="J55:Q55" si="14">SUM(J54:J54)</f>
        <v>449973.6</v>
      </c>
      <c r="K55" s="32">
        <f t="shared" si="14"/>
        <v>12679</v>
      </c>
      <c r="L55" s="32">
        <f t="shared" si="14"/>
        <v>8830</v>
      </c>
      <c r="M55" s="32">
        <f t="shared" si="14"/>
        <v>480281.5</v>
      </c>
      <c r="N55" s="32">
        <f t="shared" si="14"/>
        <v>362610</v>
      </c>
      <c r="O55" s="32">
        <f t="shared" si="14"/>
        <v>75697.3</v>
      </c>
      <c r="P55" s="32">
        <f t="shared" si="14"/>
        <v>65854.25</v>
      </c>
      <c r="Q55" s="32">
        <f t="shared" si="14"/>
        <v>7230</v>
      </c>
      <c r="R55" s="32">
        <f>R33+R53</f>
        <v>3999935.1399999997</v>
      </c>
    </row>
    <row r="56" spans="1:21" ht="69" customHeight="1" x14ac:dyDescent="0.4">
      <c r="A56" s="235" t="s">
        <v>81</v>
      </c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</row>
    <row r="57" spans="1:21" x14ac:dyDescent="0.4"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1:21" x14ac:dyDescent="0.4">
      <c r="A58" s="136" t="s">
        <v>82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</row>
    <row r="59" spans="1:21" hidden="1" x14ac:dyDescent="0.4">
      <c r="A59" s="236" t="s">
        <v>55</v>
      </c>
      <c r="B59" s="238" t="s">
        <v>19</v>
      </c>
      <c r="C59" s="240" t="s">
        <v>55</v>
      </c>
      <c r="D59" s="212" t="s">
        <v>56</v>
      </c>
      <c r="E59" s="212" t="s">
        <v>57</v>
      </c>
      <c r="F59" s="9">
        <v>0</v>
      </c>
      <c r="G59" s="15">
        <v>0</v>
      </c>
      <c r="H59" s="9"/>
      <c r="I59" s="9">
        <v>0</v>
      </c>
      <c r="J59" s="9">
        <v>0</v>
      </c>
      <c r="K59" s="9">
        <v>0</v>
      </c>
      <c r="L59" s="9">
        <v>0</v>
      </c>
      <c r="M59" s="15">
        <v>0</v>
      </c>
      <c r="N59" s="9">
        <v>0</v>
      </c>
      <c r="O59" s="9">
        <v>0</v>
      </c>
      <c r="P59" s="9">
        <v>0</v>
      </c>
      <c r="Q59" s="9"/>
      <c r="R59" s="9">
        <f t="shared" ref="R59:R61" si="15">SUM(F59:Q59)</f>
        <v>0</v>
      </c>
    </row>
    <row r="60" spans="1:21" x14ac:dyDescent="0.4">
      <c r="A60" s="237"/>
      <c r="B60" s="239"/>
      <c r="C60" s="241"/>
      <c r="D60" s="212" t="s">
        <v>55</v>
      </c>
      <c r="E60" s="212" t="s">
        <v>59</v>
      </c>
      <c r="F60" s="9"/>
      <c r="G60" s="15"/>
      <c r="H60" s="9">
        <f>15000</f>
        <v>15000</v>
      </c>
      <c r="I60" s="9"/>
      <c r="J60" s="9"/>
      <c r="K60" s="9"/>
      <c r="L60" s="9"/>
      <c r="M60" s="15"/>
      <c r="N60" s="9"/>
      <c r="O60" s="9"/>
      <c r="P60" s="9"/>
      <c r="Q60" s="9"/>
      <c r="R60" s="9">
        <f t="shared" si="15"/>
        <v>15000</v>
      </c>
    </row>
    <row r="61" spans="1:21" ht="17.399999999999999" hidden="1" customHeight="1" x14ac:dyDescent="0.4">
      <c r="A61" s="237"/>
      <c r="B61" s="243" t="s">
        <v>26</v>
      </c>
      <c r="C61" s="242"/>
      <c r="D61" s="238" t="s">
        <v>60</v>
      </c>
      <c r="E61" s="25" t="s">
        <v>61</v>
      </c>
      <c r="F61" s="9"/>
      <c r="G61" s="15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f t="shared" si="15"/>
        <v>0</v>
      </c>
    </row>
    <row r="62" spans="1:21" x14ac:dyDescent="0.4">
      <c r="A62" s="237"/>
      <c r="B62" s="243"/>
      <c r="C62" s="242"/>
      <c r="D62" s="242"/>
      <c r="E62" s="25" t="s">
        <v>83</v>
      </c>
      <c r="F62" s="9">
        <v>0</v>
      </c>
      <c r="G62" s="9">
        <v>14110</v>
      </c>
      <c r="H62" s="9"/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/>
      <c r="O62" s="9">
        <v>4030</v>
      </c>
      <c r="P62" s="9">
        <v>0</v>
      </c>
      <c r="Q62" s="9">
        <v>0</v>
      </c>
      <c r="R62" s="9">
        <f>SUM(F62:Q62)</f>
        <v>18140</v>
      </c>
    </row>
    <row r="63" spans="1:21" x14ac:dyDescent="0.4">
      <c r="A63" s="237"/>
      <c r="B63" s="243"/>
      <c r="C63" s="242"/>
      <c r="D63" s="239"/>
      <c r="E63" s="25" t="s">
        <v>122</v>
      </c>
      <c r="F63" s="9"/>
      <c r="G63" s="9"/>
      <c r="H63" s="9"/>
      <c r="I63" s="9"/>
      <c r="J63" s="9"/>
      <c r="K63" s="9"/>
      <c r="L63" s="9"/>
      <c r="M63" s="9">
        <v>0</v>
      </c>
      <c r="O63" s="9">
        <v>55831</v>
      </c>
      <c r="P63" s="9"/>
      <c r="Q63" s="9"/>
      <c r="R63" s="9">
        <f>SUM(F63:Q63)</f>
        <v>55831</v>
      </c>
    </row>
    <row r="64" spans="1:21" hidden="1" x14ac:dyDescent="0.4">
      <c r="A64" s="237"/>
      <c r="B64" s="243"/>
      <c r="C64" s="242"/>
      <c r="D64" s="212" t="s">
        <v>63</v>
      </c>
      <c r="E64" s="25" t="s">
        <v>64</v>
      </c>
      <c r="F64" s="9">
        <v>0</v>
      </c>
      <c r="G64" s="9"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>
        <f t="shared" ref="R64:R76" si="16">SUM(F64:Q64)</f>
        <v>0</v>
      </c>
    </row>
    <row r="65" spans="1:18" hidden="1" x14ac:dyDescent="0.4">
      <c r="A65" s="237"/>
      <c r="B65" s="243"/>
      <c r="C65" s="242"/>
      <c r="D65" s="212" t="s">
        <v>65</v>
      </c>
      <c r="E65" s="25" t="s">
        <v>66</v>
      </c>
      <c r="F65" s="9"/>
      <c r="G65" s="9"/>
      <c r="H65" s="9"/>
      <c r="I65" s="9"/>
      <c r="J65" s="9"/>
      <c r="K65" s="9"/>
      <c r="L65" s="9"/>
      <c r="M65" s="9"/>
      <c r="N65" s="9"/>
      <c r="O65" s="26"/>
      <c r="P65" s="9"/>
      <c r="Q65" s="9"/>
      <c r="R65" s="9">
        <f t="shared" si="16"/>
        <v>0</v>
      </c>
    </row>
    <row r="66" spans="1:18" x14ac:dyDescent="0.4">
      <c r="A66" s="237"/>
      <c r="B66" s="243"/>
      <c r="C66" s="242"/>
      <c r="D66" s="212" t="s">
        <v>65</v>
      </c>
      <c r="E66" s="25" t="s">
        <v>67</v>
      </c>
      <c r="F66" s="9">
        <v>0</v>
      </c>
      <c r="G66" s="9">
        <v>1550</v>
      </c>
      <c r="H66" s="9"/>
      <c r="I66" s="9"/>
      <c r="J66" s="9">
        <v>2400</v>
      </c>
      <c r="K66" s="9"/>
      <c r="L66" s="9"/>
      <c r="M66" s="9">
        <v>2400</v>
      </c>
      <c r="N66" s="9"/>
      <c r="O66" s="9"/>
      <c r="P66" s="9">
        <v>0</v>
      </c>
      <c r="Q66" s="9"/>
      <c r="R66" s="9">
        <f>SUM(F66:Q66)</f>
        <v>6350</v>
      </c>
    </row>
    <row r="67" spans="1:18" x14ac:dyDescent="0.4">
      <c r="A67" s="237"/>
      <c r="B67" s="243"/>
      <c r="C67" s="242"/>
      <c r="D67" s="238" t="s">
        <v>55</v>
      </c>
      <c r="E67" s="25" t="s">
        <v>137</v>
      </c>
      <c r="F67" s="9">
        <v>0</v>
      </c>
      <c r="G67" s="9">
        <v>0</v>
      </c>
      <c r="H67" s="9">
        <v>47000</v>
      </c>
      <c r="I67" s="9"/>
      <c r="J67" s="9"/>
      <c r="K67" s="9"/>
      <c r="L67" s="9"/>
      <c r="M67" s="9">
        <v>0</v>
      </c>
      <c r="N67" s="9"/>
      <c r="O67" s="9"/>
      <c r="P67" s="9">
        <v>0</v>
      </c>
      <c r="Q67" s="9"/>
      <c r="R67" s="9">
        <f>SUM(F67:Q67)</f>
        <v>47000</v>
      </c>
    </row>
    <row r="68" spans="1:18" hidden="1" x14ac:dyDescent="0.4">
      <c r="A68" s="237"/>
      <c r="B68" s="243"/>
      <c r="C68" s="242"/>
      <c r="D68" s="239"/>
      <c r="E68" s="25" t="s">
        <v>139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>
        <f>SUM(F68:Q68)</f>
        <v>0</v>
      </c>
    </row>
    <row r="69" spans="1:18" x14ac:dyDescent="0.4">
      <c r="A69" s="237"/>
      <c r="B69" s="243"/>
      <c r="C69" s="242"/>
      <c r="D69" s="212" t="s">
        <v>68</v>
      </c>
      <c r="E69" s="25" t="s">
        <v>69</v>
      </c>
      <c r="F69" s="15">
        <v>0</v>
      </c>
      <c r="G69" s="169">
        <v>1172</v>
      </c>
      <c r="H69" s="9">
        <v>2220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/>
      <c r="O69" s="9">
        <v>800</v>
      </c>
      <c r="P69" s="9">
        <v>264</v>
      </c>
      <c r="Q69" s="9">
        <v>0</v>
      </c>
      <c r="R69" s="9">
        <f>SUM(F69:Q69)</f>
        <v>4456</v>
      </c>
    </row>
    <row r="70" spans="1:18" hidden="1" x14ac:dyDescent="0.4">
      <c r="A70" s="237"/>
      <c r="B70" s="211" t="s">
        <v>43</v>
      </c>
      <c r="C70" s="242"/>
      <c r="D70" s="212" t="s">
        <v>65</v>
      </c>
      <c r="E70" s="25" t="s">
        <v>70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>
        <f t="shared" si="16"/>
        <v>0</v>
      </c>
    </row>
    <row r="71" spans="1:18" x14ac:dyDescent="0.4">
      <c r="A71" s="237"/>
      <c r="B71" s="238" t="s">
        <v>71</v>
      </c>
      <c r="C71" s="242"/>
      <c r="D71" s="212" t="s">
        <v>65</v>
      </c>
      <c r="E71" s="25" t="s">
        <v>142</v>
      </c>
      <c r="F71" s="9">
        <v>0</v>
      </c>
      <c r="G71" s="9">
        <v>1800</v>
      </c>
      <c r="H71" s="9">
        <v>0</v>
      </c>
      <c r="I71" s="9"/>
      <c r="J71" s="9"/>
      <c r="K71" s="9">
        <v>917</v>
      </c>
      <c r="L71" s="9"/>
      <c r="M71" s="9">
        <v>1670</v>
      </c>
      <c r="N71" s="9"/>
      <c r="O71" s="9"/>
      <c r="P71" s="9">
        <v>2270</v>
      </c>
      <c r="Q71" s="9">
        <v>0</v>
      </c>
      <c r="R71" s="9">
        <f t="shared" si="16"/>
        <v>6657</v>
      </c>
    </row>
    <row r="72" spans="1:18" x14ac:dyDescent="0.4">
      <c r="A72" s="237"/>
      <c r="B72" s="239"/>
      <c r="C72" s="242"/>
      <c r="D72" s="212" t="s">
        <v>141</v>
      </c>
      <c r="E72" s="25" t="s">
        <v>143</v>
      </c>
      <c r="F72" s="9">
        <v>0</v>
      </c>
      <c r="G72" s="9"/>
      <c r="H72" s="9">
        <v>5360</v>
      </c>
      <c r="I72" s="9">
        <v>8400</v>
      </c>
      <c r="J72" s="9"/>
      <c r="K72" s="9"/>
      <c r="L72" s="9"/>
      <c r="M72" s="9">
        <v>3980</v>
      </c>
      <c r="N72" s="9"/>
      <c r="O72" s="9"/>
      <c r="P72" s="9"/>
      <c r="Q72" s="9">
        <v>0</v>
      </c>
      <c r="R72" s="9">
        <f t="shared" si="16"/>
        <v>17740</v>
      </c>
    </row>
    <row r="73" spans="1:18" x14ac:dyDescent="0.4">
      <c r="A73" s="237"/>
      <c r="B73" s="238" t="s">
        <v>72</v>
      </c>
      <c r="C73" s="242"/>
      <c r="D73" s="27" t="s">
        <v>73</v>
      </c>
      <c r="E73" s="212" t="s">
        <v>74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15">
        <v>0</v>
      </c>
      <c r="L73" s="15">
        <v>0</v>
      </c>
      <c r="M73" s="15">
        <v>0</v>
      </c>
      <c r="N73" s="15">
        <v>0</v>
      </c>
      <c r="O73" s="15">
        <f>47000</f>
        <v>47000</v>
      </c>
      <c r="P73" s="15"/>
      <c r="Q73" s="15">
        <v>0</v>
      </c>
      <c r="R73" s="9">
        <f>SUM(F73:Q73)</f>
        <v>47000</v>
      </c>
    </row>
    <row r="74" spans="1:18" x14ac:dyDescent="0.4">
      <c r="A74" s="237"/>
      <c r="B74" s="242"/>
      <c r="C74" s="242"/>
      <c r="D74" s="240" t="s">
        <v>75</v>
      </c>
      <c r="E74" s="212" t="s">
        <v>123</v>
      </c>
      <c r="F74" s="9">
        <v>0</v>
      </c>
      <c r="G74" s="9">
        <v>0</v>
      </c>
      <c r="H74" s="9">
        <v>6420</v>
      </c>
      <c r="I74" s="9">
        <v>0</v>
      </c>
      <c r="J74" s="9">
        <v>1980</v>
      </c>
      <c r="K74" s="15">
        <v>0</v>
      </c>
      <c r="L74" s="15">
        <v>0</v>
      </c>
      <c r="M74" s="15">
        <f>50*60</f>
        <v>3000</v>
      </c>
      <c r="N74" s="15">
        <v>0</v>
      </c>
      <c r="O74" s="138">
        <f>60*44</f>
        <v>2640</v>
      </c>
      <c r="P74" s="9">
        <v>1200</v>
      </c>
      <c r="Q74" s="9"/>
      <c r="R74" s="9">
        <f t="shared" si="16"/>
        <v>15240</v>
      </c>
    </row>
    <row r="75" spans="1:18" x14ac:dyDescent="0.4">
      <c r="A75" s="237"/>
      <c r="B75" s="242"/>
      <c r="C75" s="242"/>
      <c r="D75" s="241"/>
      <c r="E75" s="212" t="s">
        <v>76</v>
      </c>
      <c r="F75" s="9">
        <v>0</v>
      </c>
      <c r="G75" s="9">
        <v>360</v>
      </c>
      <c r="H75" s="9">
        <v>0</v>
      </c>
      <c r="I75" s="9">
        <v>0</v>
      </c>
      <c r="J75" s="9">
        <v>0</v>
      </c>
      <c r="K75" s="15">
        <v>0</v>
      </c>
      <c r="L75" s="15">
        <v>0</v>
      </c>
      <c r="M75" s="15">
        <v>0</v>
      </c>
      <c r="N75" s="15">
        <v>0</v>
      </c>
      <c r="O75" s="9">
        <v>0</v>
      </c>
      <c r="P75" s="9">
        <v>0</v>
      </c>
      <c r="Q75" s="9">
        <v>0</v>
      </c>
      <c r="R75" s="9">
        <f t="shared" si="16"/>
        <v>360</v>
      </c>
    </row>
    <row r="76" spans="1:18" hidden="1" x14ac:dyDescent="0.4">
      <c r="A76" s="237"/>
      <c r="B76" s="239"/>
      <c r="C76" s="239"/>
      <c r="D76" s="244"/>
      <c r="E76" s="212" t="s">
        <v>77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15">
        <v>0</v>
      </c>
      <c r="L76" s="15">
        <v>0</v>
      </c>
      <c r="M76" s="15">
        <v>0</v>
      </c>
      <c r="N76" s="15">
        <v>0</v>
      </c>
      <c r="O76" s="9">
        <v>0</v>
      </c>
      <c r="P76" s="9">
        <v>0</v>
      </c>
      <c r="Q76" s="9">
        <v>0</v>
      </c>
      <c r="R76" s="9">
        <f t="shared" si="16"/>
        <v>0</v>
      </c>
    </row>
    <row r="77" spans="1:18" ht="17.399999999999999" customHeight="1" x14ac:dyDescent="0.4">
      <c r="A77" s="247" t="s">
        <v>78</v>
      </c>
      <c r="B77" s="248"/>
      <c r="C77" s="248"/>
      <c r="D77" s="248"/>
      <c r="E77" s="249"/>
      <c r="F77" s="28">
        <f t="shared" ref="F77:Q77" si="17">SUM(F59:F76)</f>
        <v>0</v>
      </c>
      <c r="G77" s="28">
        <f t="shared" si="17"/>
        <v>18992</v>
      </c>
      <c r="H77" s="28">
        <f>SUM(H59:H76)</f>
        <v>76000</v>
      </c>
      <c r="I77" s="28">
        <f>SUM(I59:I76)</f>
        <v>8400</v>
      </c>
      <c r="J77" s="28">
        <f t="shared" si="17"/>
        <v>4380</v>
      </c>
      <c r="K77" s="28">
        <f t="shared" si="17"/>
        <v>917</v>
      </c>
      <c r="L77" s="28">
        <f t="shared" si="17"/>
        <v>0</v>
      </c>
      <c r="M77" s="28">
        <f>SUM(M59:M76)</f>
        <v>11050</v>
      </c>
      <c r="N77" s="28">
        <f t="shared" si="17"/>
        <v>0</v>
      </c>
      <c r="O77" s="28">
        <f t="shared" si="17"/>
        <v>110301</v>
      </c>
      <c r="P77" s="28">
        <f t="shared" si="17"/>
        <v>3734</v>
      </c>
      <c r="Q77" s="28">
        <f t="shared" si="17"/>
        <v>0</v>
      </c>
      <c r="R77" s="30">
        <f>SUM(R59:R76)</f>
        <v>233774</v>
      </c>
    </row>
    <row r="78" spans="1:18" x14ac:dyDescent="0.4">
      <c r="A78" s="250" t="s">
        <v>84</v>
      </c>
      <c r="B78" s="251"/>
      <c r="C78" s="251"/>
      <c r="D78" s="251"/>
      <c r="E78" s="252"/>
      <c r="F78" s="35">
        <f>SUM(F60:F67)*17.65%+F71*17.65%+F73*17.65%</f>
        <v>0</v>
      </c>
      <c r="G78" s="35">
        <f>SUM(G60:G67)*17.65%+G71*17.65%+G73*17.65%</f>
        <v>3081.6899999999996</v>
      </c>
      <c r="H78" s="35">
        <f>(SUM(H60:H69)-220)*17.65%+H71*17.65%+H73*17.65%</f>
        <v>11296</v>
      </c>
      <c r="I78" s="35">
        <f t="shared" ref="I78:L78" si="18">SUM(I60:I67)*17.65%+I71*17.65%+I73*17.65%</f>
        <v>0</v>
      </c>
      <c r="J78" s="35">
        <f t="shared" si="18"/>
        <v>423.59999999999997</v>
      </c>
      <c r="K78" s="35">
        <f t="shared" si="18"/>
        <v>161.85049999999998</v>
      </c>
      <c r="L78" s="35">
        <f t="shared" si="18"/>
        <v>0</v>
      </c>
      <c r="M78" s="35">
        <f>SUM(M60:M67)*17.65%+M71*17.65%+M73*17.65%+53</f>
        <v>771.35500000000002</v>
      </c>
      <c r="N78" s="35">
        <f>SUM(N60:N67)*17.65%+N71*17.65%+N73*17.65%</f>
        <v>0</v>
      </c>
      <c r="O78" s="35">
        <f>SUM(O60:O67)*17.65%+O71*17.65%+O73*17.65%</f>
        <v>18860.966499999999</v>
      </c>
      <c r="P78" s="35">
        <f>SUM(P60:P67)*17.65%+P71*17.65%+P73*17.65%</f>
        <v>400.65499999999997</v>
      </c>
      <c r="Q78" s="35">
        <f>SUM(Q60:Q67)*17.65%+Q71*17.65%+Q73*17.65%</f>
        <v>0</v>
      </c>
      <c r="R78" s="35">
        <f>SUM(F78:Q78)</f>
        <v>34996.116999999998</v>
      </c>
    </row>
    <row r="79" spans="1:18" x14ac:dyDescent="0.4">
      <c r="A79" s="234" t="s">
        <v>85</v>
      </c>
      <c r="B79" s="234"/>
      <c r="C79" s="234"/>
      <c r="D79" s="234"/>
      <c r="E79" s="234"/>
      <c r="F79" s="36">
        <f>F77+F78</f>
        <v>0</v>
      </c>
      <c r="G79" s="36">
        <f t="shared" ref="G79:Q79" si="19">G77+G78</f>
        <v>22073.69</v>
      </c>
      <c r="H79" s="36">
        <f>H77+H78</f>
        <v>87296</v>
      </c>
      <c r="I79" s="36">
        <f t="shared" si="19"/>
        <v>8400</v>
      </c>
      <c r="J79" s="36">
        <f>J77+J78-1</f>
        <v>4802.6000000000004</v>
      </c>
      <c r="K79" s="36">
        <f t="shared" si="19"/>
        <v>1078.8505</v>
      </c>
      <c r="L79" s="36">
        <f>L77+L78</f>
        <v>0</v>
      </c>
      <c r="M79" s="36">
        <f t="shared" si="19"/>
        <v>11821.355</v>
      </c>
      <c r="N79" s="36">
        <f t="shared" si="19"/>
        <v>0</v>
      </c>
      <c r="O79" s="36">
        <f t="shared" si="19"/>
        <v>129161.96649999999</v>
      </c>
      <c r="P79" s="36">
        <f t="shared" si="19"/>
        <v>4134.6549999999997</v>
      </c>
      <c r="Q79" s="36">
        <f t="shared" si="19"/>
        <v>0</v>
      </c>
      <c r="R79" s="36">
        <f>R77+R78</f>
        <v>268770.11699999997</v>
      </c>
    </row>
    <row r="80" spans="1:18" x14ac:dyDescent="0.4">
      <c r="H80" s="33"/>
      <c r="I80" s="33"/>
      <c r="J80" s="33"/>
      <c r="K80" s="33"/>
      <c r="L80" s="33"/>
      <c r="M80" s="33"/>
      <c r="N80" s="33"/>
      <c r="O80" s="33"/>
      <c r="P80" s="33"/>
    </row>
    <row r="81" spans="6:18" hidden="1" x14ac:dyDescent="0.4">
      <c r="L81" s="35"/>
      <c r="M81" s="35"/>
      <c r="N81" s="33"/>
    </row>
    <row r="82" spans="6:18" hidden="1" x14ac:dyDescent="0.4">
      <c r="O82" s="37"/>
    </row>
    <row r="83" spans="6:18" hidden="1" x14ac:dyDescent="0.4">
      <c r="O83" s="37"/>
      <c r="P83" s="33"/>
      <c r="R83" s="33"/>
    </row>
    <row r="84" spans="6:18" hidden="1" x14ac:dyDescent="0.4">
      <c r="O84" s="37"/>
    </row>
    <row r="85" spans="6:18" hidden="1" x14ac:dyDescent="0.4">
      <c r="F85" s="37"/>
      <c r="O85" s="33"/>
    </row>
    <row r="87" spans="6:18" x14ac:dyDescent="0.4">
      <c r="F87" s="34"/>
      <c r="H87" s="34"/>
    </row>
    <row r="88" spans="6:18" x14ac:dyDescent="0.4">
      <c r="I88" s="154"/>
    </row>
  </sheetData>
  <mergeCells count="48">
    <mergeCell ref="A1:F1"/>
    <mergeCell ref="A3:D3"/>
    <mergeCell ref="A4:E4"/>
    <mergeCell ref="A5:A32"/>
    <mergeCell ref="B5:B6"/>
    <mergeCell ref="C5:C6"/>
    <mergeCell ref="B7:E7"/>
    <mergeCell ref="B8:B20"/>
    <mergeCell ref="C8:C11"/>
    <mergeCell ref="D8:D10"/>
    <mergeCell ref="C12:C16"/>
    <mergeCell ref="C17:C20"/>
    <mergeCell ref="B21:E21"/>
    <mergeCell ref="B23:E23"/>
    <mergeCell ref="B24:B29"/>
    <mergeCell ref="C24:C27"/>
    <mergeCell ref="D24:D27"/>
    <mergeCell ref="C28:C29"/>
    <mergeCell ref="D28:D29"/>
    <mergeCell ref="A55:E55"/>
    <mergeCell ref="B30:E30"/>
    <mergeCell ref="B32:E32"/>
    <mergeCell ref="A33:E33"/>
    <mergeCell ref="A34:A52"/>
    <mergeCell ref="B34:B36"/>
    <mergeCell ref="C34:C52"/>
    <mergeCell ref="D34:D35"/>
    <mergeCell ref="B37:B45"/>
    <mergeCell ref="D37:D39"/>
    <mergeCell ref="D43:D44"/>
    <mergeCell ref="B47:B48"/>
    <mergeCell ref="B49:B52"/>
    <mergeCell ref="D50:D52"/>
    <mergeCell ref="A53:E53"/>
    <mergeCell ref="A54:E54"/>
    <mergeCell ref="A77:E77"/>
    <mergeCell ref="A78:E78"/>
    <mergeCell ref="A79:E79"/>
    <mergeCell ref="A56:R56"/>
    <mergeCell ref="A59:A76"/>
    <mergeCell ref="B59:B60"/>
    <mergeCell ref="C59:C76"/>
    <mergeCell ref="B61:B69"/>
    <mergeCell ref="D61:D63"/>
    <mergeCell ref="D67:D68"/>
    <mergeCell ref="B71:B72"/>
    <mergeCell ref="B73:B76"/>
    <mergeCell ref="D74:D7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6" max="17" man="1"/>
    <brk id="79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CD7B-8E68-491A-BC54-808C60FB8FCF}">
  <sheetPr>
    <pageSetUpPr fitToPage="1"/>
  </sheetPr>
  <dimension ref="A1:V88"/>
  <sheetViews>
    <sheetView topLeftCell="D24" zoomScale="70" zoomScaleNormal="70" workbookViewId="0">
      <selection activeCell="I39" sqref="I39"/>
    </sheetView>
  </sheetViews>
  <sheetFormatPr defaultRowHeight="17.399999999999999" x14ac:dyDescent="0.4"/>
  <cols>
    <col min="1" max="1" width="8.69921875" customWidth="1"/>
    <col min="2" max="2" width="13" bestFit="1" customWidth="1"/>
    <col min="3" max="3" width="14.8984375" customWidth="1"/>
    <col min="4" max="4" width="17.8984375" customWidth="1"/>
    <col min="5" max="5" width="41.5" customWidth="1"/>
    <col min="6" max="6" width="12.69921875" bestFit="1" customWidth="1"/>
    <col min="7" max="10" width="13.69921875" customWidth="1"/>
    <col min="11" max="11" width="14.69921875" customWidth="1"/>
    <col min="12" max="12" width="13.69921875" customWidth="1"/>
    <col min="13" max="13" width="13" customWidth="1"/>
    <col min="14" max="14" width="13.69921875" customWidth="1"/>
    <col min="15" max="15" width="13" bestFit="1" customWidth="1"/>
    <col min="16" max="16" width="12.3984375" customWidth="1"/>
    <col min="17" max="17" width="12" customWidth="1"/>
    <col min="18" max="18" width="15.5" bestFit="1" customWidth="1"/>
  </cols>
  <sheetData>
    <row r="1" spans="1:18" ht="30" x14ac:dyDescent="0.4">
      <c r="A1" s="261" t="s">
        <v>115</v>
      </c>
      <c r="B1" s="261"/>
      <c r="C1" s="261"/>
      <c r="D1" s="261"/>
      <c r="E1" s="261"/>
      <c r="F1" s="261"/>
      <c r="R1" s="1" t="s">
        <v>147</v>
      </c>
    </row>
    <row r="2" spans="1:18" ht="17.25" customHeight="1" x14ac:dyDescent="0.4">
      <c r="A2" s="204"/>
      <c r="B2" s="204"/>
      <c r="C2" s="204"/>
      <c r="D2" s="204"/>
      <c r="E2" s="204"/>
      <c r="F2" s="204"/>
      <c r="R2" s="3" t="s">
        <v>0</v>
      </c>
    </row>
    <row r="3" spans="1:18" x14ac:dyDescent="0.4">
      <c r="A3" s="262" t="s">
        <v>1</v>
      </c>
      <c r="B3" s="262"/>
      <c r="C3" s="262"/>
      <c r="D3" s="262"/>
      <c r="E3" s="4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</row>
    <row r="4" spans="1:18" x14ac:dyDescent="0.4">
      <c r="A4" s="263" t="s">
        <v>16</v>
      </c>
      <c r="B4" s="264"/>
      <c r="C4" s="264"/>
      <c r="D4" s="264"/>
      <c r="E4" s="265"/>
      <c r="F4" s="6" t="s">
        <v>116</v>
      </c>
      <c r="G4" s="6" t="s">
        <v>117</v>
      </c>
      <c r="H4" s="6" t="s">
        <v>118</v>
      </c>
      <c r="I4" s="6"/>
      <c r="J4" s="6" t="s">
        <v>17</v>
      </c>
      <c r="K4" s="6" t="s">
        <v>119</v>
      </c>
      <c r="L4" s="6" t="s">
        <v>18</v>
      </c>
      <c r="M4" s="6" t="s">
        <v>18</v>
      </c>
      <c r="N4" s="6" t="s">
        <v>120</v>
      </c>
      <c r="O4" s="6"/>
      <c r="P4" s="6"/>
      <c r="Q4" s="6" t="s">
        <v>121</v>
      </c>
      <c r="R4" s="6"/>
    </row>
    <row r="5" spans="1:18" x14ac:dyDescent="0.4">
      <c r="A5" s="266" t="s">
        <v>1</v>
      </c>
      <c r="B5" s="254" t="s">
        <v>19</v>
      </c>
      <c r="C5" s="254" t="s">
        <v>20</v>
      </c>
      <c r="D5" s="203" t="s">
        <v>21</v>
      </c>
      <c r="E5" s="8" t="s">
        <v>22</v>
      </c>
      <c r="F5" s="9">
        <v>0</v>
      </c>
      <c r="G5" s="9">
        <v>0</v>
      </c>
      <c r="H5" s="9">
        <v>470000</v>
      </c>
      <c r="I5" s="9">
        <v>450000</v>
      </c>
      <c r="J5" s="10">
        <v>50000</v>
      </c>
      <c r="K5" s="9">
        <v>0</v>
      </c>
      <c r="L5" s="9">
        <v>0</v>
      </c>
      <c r="M5" s="10">
        <v>80000</v>
      </c>
      <c r="N5" s="10">
        <v>50000</v>
      </c>
      <c r="O5" s="9">
        <v>0</v>
      </c>
      <c r="P5" s="9">
        <v>0</v>
      </c>
      <c r="Q5" s="9">
        <v>0</v>
      </c>
      <c r="R5" s="11">
        <f>SUM(F5:Q5)</f>
        <v>1100000</v>
      </c>
    </row>
    <row r="6" spans="1:18" x14ac:dyDescent="0.4">
      <c r="A6" s="266"/>
      <c r="B6" s="255"/>
      <c r="C6" s="255"/>
      <c r="D6" s="201" t="s">
        <v>23</v>
      </c>
      <c r="E6" s="201" t="s">
        <v>24</v>
      </c>
      <c r="F6" s="9">
        <v>0</v>
      </c>
      <c r="G6" s="9">
        <v>300000</v>
      </c>
      <c r="H6" s="9">
        <v>330000</v>
      </c>
      <c r="I6" s="9">
        <v>350000</v>
      </c>
      <c r="J6" s="9">
        <v>250000</v>
      </c>
      <c r="K6" s="9">
        <v>0</v>
      </c>
      <c r="L6" s="9">
        <v>0</v>
      </c>
      <c r="M6" s="9">
        <v>210000</v>
      </c>
      <c r="N6" s="9">
        <v>160000</v>
      </c>
      <c r="O6" s="9"/>
      <c r="P6" s="9">
        <v>0</v>
      </c>
      <c r="Q6" s="9">
        <v>0</v>
      </c>
      <c r="R6" s="9">
        <f>SUM(F6:Q6)</f>
        <v>1600000</v>
      </c>
    </row>
    <row r="7" spans="1:18" x14ac:dyDescent="0.4">
      <c r="A7" s="266"/>
      <c r="B7" s="256" t="s">
        <v>25</v>
      </c>
      <c r="C7" s="257"/>
      <c r="D7" s="257"/>
      <c r="E7" s="258"/>
      <c r="F7" s="13">
        <f t="shared" ref="F7:G7" si="0">F6</f>
        <v>0</v>
      </c>
      <c r="G7" s="13">
        <f t="shared" si="0"/>
        <v>300000</v>
      </c>
      <c r="H7" s="13">
        <f t="shared" ref="H7:Q7" si="1">SUM(H5:H6)</f>
        <v>800000</v>
      </c>
      <c r="I7" s="13">
        <f t="shared" si="1"/>
        <v>800000</v>
      </c>
      <c r="J7" s="13">
        <f t="shared" si="1"/>
        <v>300000</v>
      </c>
      <c r="K7" s="13">
        <f t="shared" si="1"/>
        <v>0</v>
      </c>
      <c r="L7" s="13">
        <f t="shared" si="1"/>
        <v>0</v>
      </c>
      <c r="M7" s="13">
        <f t="shared" si="1"/>
        <v>290000</v>
      </c>
      <c r="N7" s="13">
        <f t="shared" si="1"/>
        <v>210000</v>
      </c>
      <c r="O7" s="13">
        <f t="shared" si="1"/>
        <v>0</v>
      </c>
      <c r="P7" s="13">
        <f t="shared" si="1"/>
        <v>0</v>
      </c>
      <c r="Q7" s="13">
        <f t="shared" si="1"/>
        <v>0</v>
      </c>
      <c r="R7" s="13">
        <f>SUM(F7:Q7)</f>
        <v>2700000</v>
      </c>
    </row>
    <row r="8" spans="1:18" x14ac:dyDescent="0.4">
      <c r="A8" s="266"/>
      <c r="B8" s="254" t="s">
        <v>26</v>
      </c>
      <c r="C8" s="268" t="s">
        <v>27</v>
      </c>
      <c r="D8" s="238" t="s">
        <v>28</v>
      </c>
      <c r="E8" s="201" t="s">
        <v>29</v>
      </c>
      <c r="F8" s="9">
        <v>0</v>
      </c>
      <c r="G8" s="9">
        <v>12000</v>
      </c>
      <c r="H8" s="9">
        <v>20000</v>
      </c>
      <c r="I8" s="9">
        <v>18000</v>
      </c>
      <c r="J8" s="9">
        <v>18000</v>
      </c>
      <c r="K8" s="9">
        <v>0</v>
      </c>
      <c r="L8" s="9">
        <v>0</v>
      </c>
      <c r="M8" s="9">
        <v>35000</v>
      </c>
      <c r="N8" s="9">
        <v>30000</v>
      </c>
      <c r="O8" s="9"/>
      <c r="P8" s="9">
        <v>0</v>
      </c>
      <c r="Q8" s="9">
        <v>0</v>
      </c>
      <c r="R8" s="9">
        <f>SUM(F8:Q8)</f>
        <v>133000</v>
      </c>
    </row>
    <row r="9" spans="1:18" x14ac:dyDescent="0.4">
      <c r="A9" s="266"/>
      <c r="B9" s="254"/>
      <c r="C9" s="268"/>
      <c r="D9" s="242"/>
      <c r="E9" s="201" t="s">
        <v>124</v>
      </c>
      <c r="F9" s="9">
        <v>0</v>
      </c>
      <c r="G9" s="9">
        <v>6110</v>
      </c>
      <c r="H9" s="9">
        <v>15000</v>
      </c>
      <c r="I9" s="9">
        <v>10000</v>
      </c>
      <c r="J9" s="9">
        <v>15000</v>
      </c>
      <c r="K9" s="9">
        <v>0</v>
      </c>
      <c r="L9" s="9">
        <v>0</v>
      </c>
      <c r="M9" s="9">
        <v>5000</v>
      </c>
      <c r="N9" s="9">
        <v>7040</v>
      </c>
      <c r="O9" s="9"/>
      <c r="P9" s="9">
        <v>0</v>
      </c>
      <c r="Q9" s="9">
        <v>0</v>
      </c>
      <c r="R9" s="9">
        <f t="shared" ref="R9:R20" si="2">SUM(F9:Q9)</f>
        <v>58150</v>
      </c>
    </row>
    <row r="10" spans="1:18" x14ac:dyDescent="0.4">
      <c r="A10" s="266"/>
      <c r="B10" s="254"/>
      <c r="C10" s="268"/>
      <c r="D10" s="239"/>
      <c r="E10" s="201" t="s">
        <v>30</v>
      </c>
      <c r="F10" s="9">
        <v>0</v>
      </c>
      <c r="G10" s="9">
        <v>10000</v>
      </c>
      <c r="H10" s="9">
        <v>8000</v>
      </c>
      <c r="I10" s="9">
        <v>0</v>
      </c>
      <c r="J10" s="9">
        <v>10000</v>
      </c>
      <c r="K10" s="9">
        <v>0</v>
      </c>
      <c r="L10" s="9">
        <v>0</v>
      </c>
      <c r="M10" s="9">
        <v>33038</v>
      </c>
      <c r="N10" s="9">
        <v>20979</v>
      </c>
      <c r="O10" s="9"/>
      <c r="P10" s="9">
        <v>0</v>
      </c>
      <c r="Q10" s="9">
        <v>0</v>
      </c>
      <c r="R10" s="9">
        <f t="shared" si="2"/>
        <v>82017</v>
      </c>
    </row>
    <row r="11" spans="1:18" x14ac:dyDescent="0.4">
      <c r="A11" s="266"/>
      <c r="B11" s="254"/>
      <c r="C11" s="268"/>
      <c r="D11" s="201" t="s">
        <v>31</v>
      </c>
      <c r="E11" s="201" t="s">
        <v>32</v>
      </c>
      <c r="F11" s="9">
        <v>0</v>
      </c>
      <c r="G11" s="9">
        <v>7000</v>
      </c>
      <c r="H11" s="9">
        <v>10000</v>
      </c>
      <c r="I11" s="9">
        <v>10000</v>
      </c>
      <c r="J11" s="9">
        <v>8890</v>
      </c>
      <c r="K11" s="9">
        <v>0</v>
      </c>
      <c r="L11" s="9">
        <v>0</v>
      </c>
      <c r="M11" s="9">
        <v>0</v>
      </c>
      <c r="N11" s="9">
        <v>0</v>
      </c>
      <c r="O11" s="9"/>
      <c r="P11" s="9">
        <v>0</v>
      </c>
      <c r="Q11" s="9">
        <v>0</v>
      </c>
      <c r="R11" s="9">
        <f t="shared" si="2"/>
        <v>35890</v>
      </c>
    </row>
    <row r="12" spans="1:18" x14ac:dyDescent="0.4">
      <c r="A12" s="266"/>
      <c r="B12" s="254"/>
      <c r="C12" s="268" t="s">
        <v>33</v>
      </c>
      <c r="D12" s="198" t="s">
        <v>34</v>
      </c>
      <c r="E12" s="201" t="s">
        <v>35</v>
      </c>
      <c r="F12" s="9">
        <v>0</v>
      </c>
      <c r="G12" s="9">
        <v>10000</v>
      </c>
      <c r="H12" s="15">
        <v>15000</v>
      </c>
      <c r="I12" s="15">
        <v>15000</v>
      </c>
      <c r="J12" s="15">
        <v>15000</v>
      </c>
      <c r="K12" s="9">
        <v>0</v>
      </c>
      <c r="L12" s="9">
        <v>0</v>
      </c>
      <c r="M12" s="15">
        <v>11302</v>
      </c>
      <c r="N12" s="15">
        <v>8991</v>
      </c>
      <c r="O12" s="15"/>
      <c r="P12" s="9">
        <v>0</v>
      </c>
      <c r="Q12" s="9">
        <v>0</v>
      </c>
      <c r="R12" s="9">
        <f t="shared" si="2"/>
        <v>75293</v>
      </c>
    </row>
    <row r="13" spans="1:18" x14ac:dyDescent="0.4">
      <c r="A13" s="266"/>
      <c r="B13" s="254"/>
      <c r="C13" s="268"/>
      <c r="D13" s="201" t="s">
        <v>36</v>
      </c>
      <c r="E13" s="205" t="s">
        <v>125</v>
      </c>
      <c r="F13" s="9">
        <v>0</v>
      </c>
      <c r="G13" s="18">
        <v>3000</v>
      </c>
      <c r="H13" s="9">
        <v>5000</v>
      </c>
      <c r="I13" s="9">
        <v>5000</v>
      </c>
      <c r="J13" s="9">
        <v>8000</v>
      </c>
      <c r="K13" s="9">
        <v>0</v>
      </c>
      <c r="L13" s="9">
        <v>0</v>
      </c>
      <c r="M13" s="9">
        <v>5000</v>
      </c>
      <c r="N13" s="9">
        <v>5000</v>
      </c>
      <c r="O13" s="9"/>
      <c r="P13" s="9">
        <v>0</v>
      </c>
      <c r="Q13" s="9">
        <v>0</v>
      </c>
      <c r="R13" s="9">
        <f t="shared" si="2"/>
        <v>31000</v>
      </c>
    </row>
    <row r="14" spans="1:18" x14ac:dyDescent="0.4">
      <c r="A14" s="266"/>
      <c r="B14" s="254"/>
      <c r="C14" s="268"/>
      <c r="D14" s="201" t="s">
        <v>36</v>
      </c>
      <c r="E14" s="205" t="s">
        <v>126</v>
      </c>
      <c r="F14" s="9">
        <v>0</v>
      </c>
      <c r="G14" s="18">
        <v>3000</v>
      </c>
      <c r="H14" s="9">
        <v>5000</v>
      </c>
      <c r="I14" s="9">
        <v>5400</v>
      </c>
      <c r="J14" s="9">
        <v>5000</v>
      </c>
      <c r="K14" s="9">
        <v>0</v>
      </c>
      <c r="L14" s="9">
        <v>0</v>
      </c>
      <c r="M14" s="9">
        <v>15000</v>
      </c>
      <c r="N14" s="9">
        <v>10000</v>
      </c>
      <c r="O14" s="9"/>
      <c r="P14" s="9">
        <v>0</v>
      </c>
      <c r="Q14" s="9">
        <v>0</v>
      </c>
      <c r="R14" s="9">
        <f t="shared" si="2"/>
        <v>43400</v>
      </c>
    </row>
    <row r="15" spans="1:18" x14ac:dyDescent="0.4">
      <c r="A15" s="266"/>
      <c r="B15" s="254"/>
      <c r="C15" s="268"/>
      <c r="D15" s="200" t="s">
        <v>37</v>
      </c>
      <c r="E15" s="201" t="s">
        <v>38</v>
      </c>
      <c r="F15" s="9">
        <v>0</v>
      </c>
      <c r="G15" s="9">
        <v>3000</v>
      </c>
      <c r="H15" s="9">
        <v>3000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/>
      <c r="P15" s="9">
        <v>0</v>
      </c>
      <c r="Q15" s="9">
        <v>0</v>
      </c>
      <c r="R15" s="9">
        <f t="shared" si="2"/>
        <v>6000</v>
      </c>
    </row>
    <row r="16" spans="1:18" x14ac:dyDescent="0.4">
      <c r="A16" s="266"/>
      <c r="B16" s="254"/>
      <c r="C16" s="268"/>
      <c r="D16" s="201" t="s">
        <v>39</v>
      </c>
      <c r="E16" s="201" t="s">
        <v>127</v>
      </c>
      <c r="F16" s="9">
        <v>0</v>
      </c>
      <c r="G16" s="9">
        <v>0</v>
      </c>
      <c r="H16" s="9">
        <v>5000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f t="shared" si="2"/>
        <v>5000</v>
      </c>
    </row>
    <row r="17" spans="1:18" x14ac:dyDescent="0.4">
      <c r="A17" s="266"/>
      <c r="B17" s="254"/>
      <c r="C17" s="253" t="s">
        <v>40</v>
      </c>
      <c r="D17" s="199" t="s">
        <v>34</v>
      </c>
      <c r="E17" s="201" t="s">
        <v>128</v>
      </c>
      <c r="F17" s="9">
        <v>0</v>
      </c>
      <c r="G17" s="9">
        <v>2473.3000000000002</v>
      </c>
      <c r="H17" s="9">
        <v>5476.6</v>
      </c>
      <c r="I17" s="9">
        <v>5300</v>
      </c>
      <c r="J17" s="9">
        <v>0</v>
      </c>
      <c r="K17" s="9">
        <v>0</v>
      </c>
      <c r="L17" s="9">
        <v>0</v>
      </c>
      <c r="M17" s="9">
        <v>5470</v>
      </c>
      <c r="N17" s="9">
        <v>5300</v>
      </c>
      <c r="O17" s="9">
        <v>0</v>
      </c>
      <c r="P17" s="9">
        <v>0</v>
      </c>
      <c r="Q17" s="9">
        <v>0</v>
      </c>
      <c r="R17" s="9">
        <f t="shared" si="2"/>
        <v>24019.9</v>
      </c>
    </row>
    <row r="18" spans="1:18" x14ac:dyDescent="0.4">
      <c r="A18" s="266"/>
      <c r="B18" s="254"/>
      <c r="C18" s="254"/>
      <c r="D18" s="199" t="s">
        <v>34</v>
      </c>
      <c r="E18" s="201" t="s">
        <v>129</v>
      </c>
      <c r="F18" s="9">
        <v>0</v>
      </c>
      <c r="G18" s="9">
        <v>3686.6</v>
      </c>
      <c r="H18" s="9">
        <v>8163.3</v>
      </c>
      <c r="I18" s="9">
        <v>10500</v>
      </c>
      <c r="J18" s="9">
        <v>10850</v>
      </c>
      <c r="K18" s="9">
        <v>0</v>
      </c>
      <c r="L18" s="9">
        <v>0</v>
      </c>
      <c r="M18" s="9">
        <v>10850</v>
      </c>
      <c r="N18" s="9">
        <v>10500</v>
      </c>
      <c r="O18" s="9">
        <v>0</v>
      </c>
      <c r="P18" s="9">
        <v>0</v>
      </c>
      <c r="Q18" s="9">
        <v>0</v>
      </c>
      <c r="R18" s="9">
        <f t="shared" si="2"/>
        <v>54549.9</v>
      </c>
    </row>
    <row r="19" spans="1:18" x14ac:dyDescent="0.4">
      <c r="A19" s="266"/>
      <c r="B19" s="254"/>
      <c r="C19" s="254"/>
      <c r="D19" s="199" t="s">
        <v>34</v>
      </c>
      <c r="E19" s="201" t="s">
        <v>41</v>
      </c>
      <c r="F19" s="9">
        <v>0</v>
      </c>
      <c r="G19" s="9">
        <v>0</v>
      </c>
      <c r="H19" s="9">
        <v>0</v>
      </c>
      <c r="I19" s="9">
        <v>0</v>
      </c>
      <c r="J19" s="9">
        <v>1030</v>
      </c>
      <c r="K19" s="9">
        <v>1000</v>
      </c>
      <c r="L19" s="9">
        <v>510</v>
      </c>
      <c r="M19" s="9"/>
      <c r="N19" s="9"/>
      <c r="O19" s="9">
        <v>1030</v>
      </c>
      <c r="P19" s="9">
        <v>1000</v>
      </c>
      <c r="Q19" s="9">
        <v>1030</v>
      </c>
      <c r="R19" s="9">
        <f t="shared" si="2"/>
        <v>5600</v>
      </c>
    </row>
    <row r="20" spans="1:18" x14ac:dyDescent="0.4">
      <c r="A20" s="266"/>
      <c r="B20" s="254"/>
      <c r="C20" s="254"/>
      <c r="D20" s="199" t="s">
        <v>34</v>
      </c>
      <c r="E20" s="201" t="s">
        <v>130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6000</v>
      </c>
      <c r="L20" s="9">
        <v>3720</v>
      </c>
      <c r="M20" s="9">
        <v>3000</v>
      </c>
      <c r="N20" s="9"/>
      <c r="O20" s="9">
        <v>5160</v>
      </c>
      <c r="P20" s="9">
        <v>5000</v>
      </c>
      <c r="Q20" s="9">
        <v>6200</v>
      </c>
      <c r="R20" s="9">
        <f t="shared" si="2"/>
        <v>29080</v>
      </c>
    </row>
    <row r="21" spans="1:18" x14ac:dyDescent="0.4">
      <c r="A21" s="266"/>
      <c r="B21" s="256" t="s">
        <v>42</v>
      </c>
      <c r="C21" s="257"/>
      <c r="D21" s="257"/>
      <c r="E21" s="258"/>
      <c r="F21" s="13">
        <f t="shared" ref="F21:R21" si="3">SUM(F8:F20)</f>
        <v>0</v>
      </c>
      <c r="G21" s="13">
        <f t="shared" si="3"/>
        <v>60269.9</v>
      </c>
      <c r="H21" s="13">
        <f t="shared" si="3"/>
        <v>99639.900000000009</v>
      </c>
      <c r="I21" s="13">
        <f t="shared" si="3"/>
        <v>79200</v>
      </c>
      <c r="J21" s="13">
        <f>SUM(J8:J20)</f>
        <v>91770</v>
      </c>
      <c r="K21" s="13">
        <f t="shared" si="3"/>
        <v>7000</v>
      </c>
      <c r="L21" s="13">
        <f t="shared" si="3"/>
        <v>4230</v>
      </c>
      <c r="M21" s="13">
        <f t="shared" si="3"/>
        <v>123660</v>
      </c>
      <c r="N21" s="13">
        <f t="shared" si="3"/>
        <v>97810</v>
      </c>
      <c r="O21" s="13">
        <f t="shared" si="3"/>
        <v>6190</v>
      </c>
      <c r="P21" s="13">
        <f t="shared" si="3"/>
        <v>6000</v>
      </c>
      <c r="Q21" s="13">
        <f t="shared" si="3"/>
        <v>7230</v>
      </c>
      <c r="R21" s="13">
        <f t="shared" si="3"/>
        <v>582999.80000000005</v>
      </c>
    </row>
    <row r="22" spans="1:18" hidden="1" x14ac:dyDescent="0.4">
      <c r="A22" s="266"/>
      <c r="B22" s="206" t="s">
        <v>43</v>
      </c>
      <c r="C22" s="206" t="s">
        <v>20</v>
      </c>
      <c r="D22" s="202" t="s">
        <v>43</v>
      </c>
      <c r="E22" s="22" t="s">
        <v>44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" si="4">SUM(F22:Q22)</f>
        <v>0</v>
      </c>
    </row>
    <row r="23" spans="1:18" hidden="1" x14ac:dyDescent="0.4">
      <c r="A23" s="266"/>
      <c r="B23" s="256" t="s">
        <v>45</v>
      </c>
      <c r="C23" s="257"/>
      <c r="D23" s="257"/>
      <c r="E23" s="258"/>
      <c r="F23" s="13">
        <f t="shared" ref="F23:R23" si="5">SUM(F22:F22)</f>
        <v>0</v>
      </c>
      <c r="G23" s="13">
        <f t="shared" si="5"/>
        <v>0</v>
      </c>
      <c r="H23" s="13">
        <f t="shared" si="5"/>
        <v>0</v>
      </c>
      <c r="I23" s="13">
        <f t="shared" si="5"/>
        <v>0</v>
      </c>
      <c r="J23" s="13">
        <f t="shared" si="5"/>
        <v>0</v>
      </c>
      <c r="K23" s="13">
        <f t="shared" si="5"/>
        <v>0</v>
      </c>
      <c r="L23" s="13">
        <f t="shared" si="5"/>
        <v>0</v>
      </c>
      <c r="M23" s="13">
        <f t="shared" si="5"/>
        <v>0</v>
      </c>
      <c r="N23" s="13">
        <f t="shared" si="5"/>
        <v>0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</row>
    <row r="24" spans="1:18" x14ac:dyDescent="0.4">
      <c r="A24" s="266"/>
      <c r="B24" s="269" t="s">
        <v>46</v>
      </c>
      <c r="C24" s="253" t="s">
        <v>20</v>
      </c>
      <c r="D24" s="253" t="s">
        <v>47</v>
      </c>
      <c r="E24" s="135" t="s">
        <v>132</v>
      </c>
      <c r="F24" s="9">
        <v>0</v>
      </c>
      <c r="G24" s="9">
        <v>0</v>
      </c>
      <c r="H24" s="9">
        <v>27800</v>
      </c>
      <c r="I24" s="9">
        <v>30800</v>
      </c>
      <c r="J24" s="9">
        <v>30800</v>
      </c>
      <c r="K24" s="9">
        <v>0</v>
      </c>
      <c r="L24" s="9">
        <v>0</v>
      </c>
      <c r="M24" s="9">
        <v>32200</v>
      </c>
      <c r="N24" s="9">
        <v>32200</v>
      </c>
      <c r="O24" s="9">
        <v>1100</v>
      </c>
      <c r="P24" s="9">
        <v>0</v>
      </c>
      <c r="Q24" s="9">
        <v>0</v>
      </c>
      <c r="R24" s="9">
        <f t="shared" ref="R24:R29" si="6">SUM(F24:Q24)</f>
        <v>154900</v>
      </c>
    </row>
    <row r="25" spans="1:18" x14ac:dyDescent="0.4">
      <c r="A25" s="266"/>
      <c r="B25" s="270"/>
      <c r="C25" s="254"/>
      <c r="D25" s="254"/>
      <c r="E25" s="135" t="s">
        <v>134</v>
      </c>
      <c r="F25" s="9"/>
      <c r="G25" s="9"/>
      <c r="H25" s="9">
        <v>4600</v>
      </c>
      <c r="I25" s="9">
        <v>4600</v>
      </c>
      <c r="J25" s="9">
        <v>4600</v>
      </c>
      <c r="K25" s="9">
        <v>4600</v>
      </c>
      <c r="L25" s="9">
        <v>4600</v>
      </c>
      <c r="M25" s="9">
        <v>4600</v>
      </c>
      <c r="N25" s="9">
        <v>4600</v>
      </c>
      <c r="O25" s="9">
        <v>4600</v>
      </c>
      <c r="P25" s="9"/>
      <c r="Q25" s="9"/>
      <c r="R25" s="9">
        <f t="shared" si="6"/>
        <v>36800</v>
      </c>
    </row>
    <row r="26" spans="1:18" x14ac:dyDescent="0.4">
      <c r="A26" s="266"/>
      <c r="B26" s="270"/>
      <c r="C26" s="254"/>
      <c r="D26" s="254"/>
      <c r="E26" s="135" t="s">
        <v>133</v>
      </c>
      <c r="F26" s="9"/>
      <c r="G26" s="9"/>
      <c r="H26" s="9">
        <v>18000</v>
      </c>
      <c r="I26" s="9">
        <v>18000</v>
      </c>
      <c r="J26" s="9">
        <v>18000</v>
      </c>
      <c r="K26" s="9"/>
      <c r="L26" s="9"/>
      <c r="M26" s="9">
        <v>18000</v>
      </c>
      <c r="N26" s="9">
        <v>18000</v>
      </c>
      <c r="O26" s="9"/>
      <c r="P26" s="9"/>
      <c r="Q26" s="9"/>
      <c r="R26" s="9">
        <f t="shared" si="6"/>
        <v>90000</v>
      </c>
    </row>
    <row r="27" spans="1:18" x14ac:dyDescent="0.4">
      <c r="A27" s="266"/>
      <c r="B27" s="270"/>
      <c r="C27" s="255"/>
      <c r="D27" s="255"/>
      <c r="E27" s="22" t="s">
        <v>131</v>
      </c>
      <c r="F27" s="9"/>
      <c r="G27" s="9"/>
      <c r="H27" s="9">
        <v>0</v>
      </c>
      <c r="I27" s="9">
        <v>91100</v>
      </c>
      <c r="J27" s="9"/>
      <c r="K27" s="9"/>
      <c r="L27" s="9"/>
      <c r="M27" s="9"/>
      <c r="N27" s="9"/>
      <c r="O27" s="9"/>
      <c r="P27" s="9"/>
      <c r="Q27" s="9"/>
      <c r="R27" s="9">
        <f t="shared" si="6"/>
        <v>91100</v>
      </c>
    </row>
    <row r="28" spans="1:18" hidden="1" x14ac:dyDescent="0.4">
      <c r="A28" s="266"/>
      <c r="B28" s="270"/>
      <c r="C28" s="253" t="s">
        <v>48</v>
      </c>
      <c r="D28" s="253" t="s">
        <v>48</v>
      </c>
      <c r="E28" s="22" t="s">
        <v>135</v>
      </c>
      <c r="F28" s="9">
        <v>0</v>
      </c>
      <c r="G28" s="9">
        <v>0</v>
      </c>
      <c r="H28" s="138"/>
      <c r="I28" s="9"/>
      <c r="J28" s="9"/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f t="shared" si="6"/>
        <v>0</v>
      </c>
    </row>
    <row r="29" spans="1:18" x14ac:dyDescent="0.4">
      <c r="A29" s="266"/>
      <c r="B29" s="270"/>
      <c r="C29" s="255"/>
      <c r="D29" s="255"/>
      <c r="E29" s="22" t="s">
        <v>138</v>
      </c>
      <c r="F29" s="9">
        <v>0</v>
      </c>
      <c r="G29" s="9">
        <v>0</v>
      </c>
      <c r="H29" s="9">
        <v>85000</v>
      </c>
      <c r="I29" s="9"/>
      <c r="J29" s="9"/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f t="shared" si="6"/>
        <v>85000</v>
      </c>
    </row>
    <row r="30" spans="1:18" x14ac:dyDescent="0.4">
      <c r="A30" s="266"/>
      <c r="B30" s="256" t="s">
        <v>49</v>
      </c>
      <c r="C30" s="257"/>
      <c r="D30" s="257"/>
      <c r="E30" s="258"/>
      <c r="F30" s="13">
        <f>SUM(F24:F29)</f>
        <v>0</v>
      </c>
      <c r="G30" s="13">
        <f>SUM(G24:G29)</f>
        <v>0</v>
      </c>
      <c r="H30" s="13">
        <f t="shared" ref="H30:Q30" si="7">SUM(H24:H29)</f>
        <v>135400</v>
      </c>
      <c r="I30" s="13">
        <f t="shared" si="7"/>
        <v>144500</v>
      </c>
      <c r="J30" s="13">
        <f t="shared" si="7"/>
        <v>53400</v>
      </c>
      <c r="K30" s="13">
        <f t="shared" si="7"/>
        <v>4600</v>
      </c>
      <c r="L30" s="13">
        <f t="shared" si="7"/>
        <v>4600</v>
      </c>
      <c r="M30" s="13">
        <f t="shared" si="7"/>
        <v>54800</v>
      </c>
      <c r="N30" s="13">
        <f t="shared" si="7"/>
        <v>54800</v>
      </c>
      <c r="O30" s="13">
        <f t="shared" si="7"/>
        <v>5700</v>
      </c>
      <c r="P30" s="13">
        <f t="shared" si="7"/>
        <v>0</v>
      </c>
      <c r="Q30" s="13">
        <f t="shared" si="7"/>
        <v>0</v>
      </c>
      <c r="R30" s="13">
        <f>SUM(R24:R29)</f>
        <v>457800</v>
      </c>
    </row>
    <row r="31" spans="1:18" hidden="1" x14ac:dyDescent="0.4">
      <c r="A31" s="266"/>
      <c r="B31" s="206" t="s">
        <v>50</v>
      </c>
      <c r="C31" s="202" t="s">
        <v>20</v>
      </c>
      <c r="D31" s="202" t="s">
        <v>51</v>
      </c>
      <c r="E31" s="22" t="s">
        <v>52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/>
      <c r="O31" s="9">
        <v>0</v>
      </c>
      <c r="P31" s="9">
        <v>0</v>
      </c>
      <c r="Q31" s="9">
        <v>0</v>
      </c>
      <c r="R31" s="9">
        <f>J31</f>
        <v>0</v>
      </c>
    </row>
    <row r="32" spans="1:18" hidden="1" x14ac:dyDescent="0.4">
      <c r="A32" s="267"/>
      <c r="B32" s="256" t="s">
        <v>53</v>
      </c>
      <c r="C32" s="257"/>
      <c r="D32" s="257"/>
      <c r="E32" s="258"/>
      <c r="F32" s="13">
        <f t="shared" ref="F32:R32" si="8">SUM(F31:F31)</f>
        <v>0</v>
      </c>
      <c r="G32" s="13">
        <f t="shared" si="8"/>
        <v>0</v>
      </c>
      <c r="H32" s="13">
        <f t="shared" si="8"/>
        <v>0</v>
      </c>
      <c r="I32" s="13">
        <f t="shared" si="8"/>
        <v>0</v>
      </c>
      <c r="J32" s="13">
        <f t="shared" si="8"/>
        <v>0</v>
      </c>
      <c r="K32" s="13">
        <f t="shared" si="8"/>
        <v>0</v>
      </c>
      <c r="L32" s="13">
        <f t="shared" si="8"/>
        <v>0</v>
      </c>
      <c r="M32" s="13">
        <f t="shared" si="8"/>
        <v>0</v>
      </c>
      <c r="N32" s="13">
        <f t="shared" si="8"/>
        <v>0</v>
      </c>
      <c r="O32" s="13">
        <f t="shared" si="8"/>
        <v>0</v>
      </c>
      <c r="P32" s="13">
        <f t="shared" si="8"/>
        <v>0</v>
      </c>
      <c r="Q32" s="13">
        <f t="shared" si="8"/>
        <v>0</v>
      </c>
      <c r="R32" s="13">
        <f t="shared" si="8"/>
        <v>0</v>
      </c>
    </row>
    <row r="33" spans="1:22" x14ac:dyDescent="0.4">
      <c r="A33" s="259" t="s">
        <v>54</v>
      </c>
      <c r="B33" s="259"/>
      <c r="C33" s="259"/>
      <c r="D33" s="259"/>
      <c r="E33" s="259"/>
      <c r="F33" s="23">
        <f>F7+F21</f>
        <v>0</v>
      </c>
      <c r="G33" s="23">
        <f>G7+G21</f>
        <v>360269.9</v>
      </c>
      <c r="H33" s="23">
        <f>H7+H21+H30+H32</f>
        <v>1035039.9</v>
      </c>
      <c r="I33" s="23">
        <f>I7+I21+I23+I30+I32</f>
        <v>1023700</v>
      </c>
      <c r="J33" s="23">
        <f>J7+J21+J23+J30+J32</f>
        <v>445170</v>
      </c>
      <c r="K33" s="23">
        <f>K7+K21+K30+K32</f>
        <v>11600</v>
      </c>
      <c r="L33" s="23">
        <f>L7+L21+L30+L32</f>
        <v>8830</v>
      </c>
      <c r="M33" s="23">
        <f>M7+M21+M30+M32</f>
        <v>468460</v>
      </c>
      <c r="N33" s="23">
        <f>N7+N21+N30+N32</f>
        <v>362610</v>
      </c>
      <c r="O33" s="23">
        <f>O7+O21+O30+O32</f>
        <v>11890</v>
      </c>
      <c r="P33" s="23">
        <f t="shared" ref="P33:Q33" si="9">P7+P21+P30+P32</f>
        <v>6000</v>
      </c>
      <c r="Q33" s="23">
        <f t="shared" si="9"/>
        <v>7230</v>
      </c>
      <c r="R33" s="23">
        <f>R7+R21+R23+R30+R32</f>
        <v>3740799.8</v>
      </c>
      <c r="U33" s="34"/>
    </row>
    <row r="34" spans="1:22" hidden="1" x14ac:dyDescent="0.4">
      <c r="A34" s="236" t="s">
        <v>55</v>
      </c>
      <c r="B34" s="238" t="s">
        <v>19</v>
      </c>
      <c r="C34" s="240" t="s">
        <v>55</v>
      </c>
      <c r="D34" s="238" t="s">
        <v>56</v>
      </c>
      <c r="E34" s="201" t="s">
        <v>57</v>
      </c>
      <c r="F34" s="9">
        <v>0</v>
      </c>
      <c r="G34" s="9"/>
      <c r="H34" s="9"/>
      <c r="I34" s="9">
        <v>0</v>
      </c>
      <c r="J34" s="9">
        <v>0</v>
      </c>
      <c r="K34" s="9">
        <v>0</v>
      </c>
      <c r="L34" s="9">
        <v>0</v>
      </c>
      <c r="M34" s="10">
        <v>0</v>
      </c>
      <c r="N34" s="9">
        <v>0</v>
      </c>
      <c r="O34" s="9">
        <v>0</v>
      </c>
      <c r="P34" s="9">
        <v>0</v>
      </c>
      <c r="Q34" s="9"/>
      <c r="R34" s="9">
        <f t="shared" ref="R34:R37" si="10">SUM(F34:Q34)</f>
        <v>0</v>
      </c>
    </row>
    <row r="35" spans="1:22" hidden="1" x14ac:dyDescent="0.4">
      <c r="A35" s="237"/>
      <c r="B35" s="242"/>
      <c r="C35" s="241"/>
      <c r="D35" s="239"/>
      <c r="E35" s="201" t="s">
        <v>58</v>
      </c>
      <c r="F35" s="9"/>
      <c r="G35" s="9"/>
      <c r="H35" s="9"/>
      <c r="I35" s="9"/>
      <c r="J35" s="9"/>
      <c r="K35" s="9"/>
      <c r="L35" s="9"/>
      <c r="M35" s="10"/>
      <c r="N35" s="9"/>
      <c r="O35" s="9"/>
      <c r="P35" s="9"/>
      <c r="Q35" s="9"/>
      <c r="R35" s="9">
        <f t="shared" si="10"/>
        <v>0</v>
      </c>
    </row>
    <row r="36" spans="1:22" x14ac:dyDescent="0.4">
      <c r="A36" s="237"/>
      <c r="B36" s="239"/>
      <c r="C36" s="241"/>
      <c r="D36" s="199" t="s">
        <v>55</v>
      </c>
      <c r="E36" s="201" t="s">
        <v>59</v>
      </c>
      <c r="F36" s="9">
        <v>0</v>
      </c>
      <c r="G36" s="9">
        <v>0</v>
      </c>
      <c r="H36" s="9">
        <f>15000*1.1765</f>
        <v>17647.5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f>SUM(F36:Q36)</f>
        <v>17647.5</v>
      </c>
      <c r="U36" s="34"/>
    </row>
    <row r="37" spans="1:22" ht="17.399999999999999" hidden="1" customHeight="1" x14ac:dyDescent="0.4">
      <c r="A37" s="237"/>
      <c r="B37" s="238" t="s">
        <v>26</v>
      </c>
      <c r="C37" s="242"/>
      <c r="D37" s="238" t="s">
        <v>60</v>
      </c>
      <c r="E37" s="25" t="s">
        <v>61</v>
      </c>
      <c r="F37" s="9">
        <v>0</v>
      </c>
      <c r="G37" s="9"/>
      <c r="H37" s="9"/>
      <c r="I37" s="9"/>
      <c r="J37" s="9"/>
      <c r="K37" s="9"/>
      <c r="L37" s="9"/>
      <c r="M37" s="9"/>
      <c r="N37" s="9"/>
      <c r="O37" s="9">
        <v>0</v>
      </c>
      <c r="P37" s="9"/>
      <c r="Q37" s="9"/>
      <c r="R37" s="9">
        <f t="shared" si="10"/>
        <v>0</v>
      </c>
    </row>
    <row r="38" spans="1:22" x14ac:dyDescent="0.4">
      <c r="A38" s="237"/>
      <c r="B38" s="242"/>
      <c r="C38" s="242"/>
      <c r="D38" s="242"/>
      <c r="E38" s="25" t="s">
        <v>62</v>
      </c>
      <c r="F38" s="9">
        <v>0</v>
      </c>
      <c r="G38" s="9">
        <f>14110*1.1765</f>
        <v>16600.415000000001</v>
      </c>
      <c r="H38" s="9"/>
      <c r="I38" s="9"/>
      <c r="J38" s="9"/>
      <c r="K38" s="9"/>
      <c r="L38" s="9">
        <v>0</v>
      </c>
      <c r="M38" s="9">
        <v>0</v>
      </c>
      <c r="N38" s="9">
        <v>0</v>
      </c>
      <c r="O38" s="9"/>
      <c r="P38" s="9">
        <v>0</v>
      </c>
      <c r="Q38" s="9">
        <v>0</v>
      </c>
      <c r="R38" s="9">
        <f>SUM(F38:Q38)</f>
        <v>16600.415000000001</v>
      </c>
    </row>
    <row r="39" spans="1:22" x14ac:dyDescent="0.4">
      <c r="A39" s="237"/>
      <c r="B39" s="242"/>
      <c r="C39" s="242"/>
      <c r="D39" s="239"/>
      <c r="E39" s="25" t="s">
        <v>122</v>
      </c>
      <c r="F39" s="9"/>
      <c r="G39" s="9"/>
      <c r="H39" s="9"/>
      <c r="I39" s="9"/>
      <c r="J39" s="9"/>
      <c r="K39" s="9"/>
      <c r="L39" s="9"/>
      <c r="M39" s="9"/>
      <c r="N39" s="220"/>
      <c r="O39" s="9">
        <f>57633*1.1765</f>
        <v>67805.224500000011</v>
      </c>
      <c r="P39" s="9"/>
      <c r="Q39" s="9">
        <v>0</v>
      </c>
      <c r="R39" s="9">
        <f t="shared" ref="R39:R52" si="11">SUM(F39:Q39)</f>
        <v>67805.224500000011</v>
      </c>
    </row>
    <row r="40" spans="1:22" ht="17.399999999999999" hidden="1" customHeight="1" x14ac:dyDescent="0.4">
      <c r="A40" s="237"/>
      <c r="B40" s="242"/>
      <c r="C40" s="242"/>
      <c r="D40" s="201" t="s">
        <v>63</v>
      </c>
      <c r="E40" s="25" t="s">
        <v>64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>
        <v>0</v>
      </c>
      <c r="R40" s="9">
        <f t="shared" si="11"/>
        <v>0</v>
      </c>
    </row>
    <row r="41" spans="1:22" ht="17.399999999999999" hidden="1" customHeight="1" x14ac:dyDescent="0.4">
      <c r="A41" s="237"/>
      <c r="B41" s="242"/>
      <c r="C41" s="242"/>
      <c r="D41" s="201" t="s">
        <v>65</v>
      </c>
      <c r="E41" s="25" t="s">
        <v>66</v>
      </c>
      <c r="F41" s="9"/>
      <c r="G41" s="9"/>
      <c r="H41" s="9"/>
      <c r="I41" s="9"/>
      <c r="J41" s="9"/>
      <c r="K41" s="9"/>
      <c r="L41" s="9"/>
      <c r="M41" s="9"/>
      <c r="N41" s="9"/>
      <c r="O41" s="26"/>
      <c r="P41" s="9"/>
      <c r="Q41" s="9">
        <v>0</v>
      </c>
      <c r="R41" s="9">
        <f t="shared" si="11"/>
        <v>0</v>
      </c>
    </row>
    <row r="42" spans="1:22" x14ac:dyDescent="0.4">
      <c r="A42" s="237"/>
      <c r="B42" s="242"/>
      <c r="C42" s="242"/>
      <c r="D42" s="201" t="s">
        <v>65</v>
      </c>
      <c r="E42" s="25" t="s">
        <v>67</v>
      </c>
      <c r="F42" s="9">
        <v>0</v>
      </c>
      <c r="G42" s="9">
        <f>1550*1.1765</f>
        <v>1823.575</v>
      </c>
      <c r="H42" s="9"/>
      <c r="I42" s="9"/>
      <c r="J42" s="9">
        <v>2823.6</v>
      </c>
      <c r="K42" s="9"/>
      <c r="L42" s="9"/>
      <c r="M42" s="9">
        <v>2823.6</v>
      </c>
      <c r="N42" s="9"/>
      <c r="O42" s="9">
        <v>0</v>
      </c>
      <c r="P42" s="9">
        <v>0</v>
      </c>
      <c r="Q42" s="9">
        <v>0</v>
      </c>
      <c r="R42" s="9">
        <f t="shared" si="11"/>
        <v>7470.7749999999996</v>
      </c>
    </row>
    <row r="43" spans="1:22" x14ac:dyDescent="0.4">
      <c r="A43" s="237"/>
      <c r="B43" s="242"/>
      <c r="C43" s="242"/>
      <c r="D43" s="238" t="s">
        <v>55</v>
      </c>
      <c r="E43" s="25" t="s">
        <v>137</v>
      </c>
      <c r="F43" s="9">
        <v>0</v>
      </c>
      <c r="G43" s="9">
        <v>0</v>
      </c>
      <c r="H43" s="9">
        <f>47000*1.1765</f>
        <v>55295.500000000007</v>
      </c>
      <c r="I43" s="9"/>
      <c r="J43" s="9"/>
      <c r="K43" s="9"/>
      <c r="L43" s="9"/>
      <c r="M43" s="9"/>
      <c r="N43" s="9"/>
      <c r="O43" s="9">
        <v>0</v>
      </c>
      <c r="P43" s="9">
        <v>0</v>
      </c>
      <c r="Q43" s="9">
        <v>0</v>
      </c>
      <c r="R43" s="9">
        <f t="shared" si="11"/>
        <v>55295.500000000007</v>
      </c>
      <c r="V43" s="34"/>
    </row>
    <row r="44" spans="1:22" hidden="1" x14ac:dyDescent="0.4">
      <c r="A44" s="237"/>
      <c r="B44" s="242"/>
      <c r="C44" s="242"/>
      <c r="D44" s="239"/>
      <c r="E44" s="25" t="s">
        <v>122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>
        <f t="shared" si="11"/>
        <v>0</v>
      </c>
    </row>
    <row r="45" spans="1:22" x14ac:dyDescent="0.4">
      <c r="A45" s="237"/>
      <c r="B45" s="239"/>
      <c r="C45" s="242"/>
      <c r="D45" s="201" t="s">
        <v>68</v>
      </c>
      <c r="E45" s="25" t="s">
        <v>69</v>
      </c>
      <c r="F45" s="9">
        <v>0</v>
      </c>
      <c r="G45" s="169">
        <v>1172</v>
      </c>
      <c r="H45" s="9">
        <f>(2000*1.1765)+220</f>
        <v>2573</v>
      </c>
      <c r="I45" s="9">
        <v>0</v>
      </c>
      <c r="J45" s="9"/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f t="shared" si="11"/>
        <v>3745</v>
      </c>
    </row>
    <row r="46" spans="1:22" hidden="1" x14ac:dyDescent="0.4">
      <c r="A46" s="237"/>
      <c r="B46" s="200" t="s">
        <v>43</v>
      </c>
      <c r="C46" s="242"/>
      <c r="D46" s="201" t="s">
        <v>65</v>
      </c>
      <c r="E46" s="25" t="s">
        <v>70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>
        <v>0</v>
      </c>
      <c r="R46" s="9">
        <f t="shared" si="11"/>
        <v>0</v>
      </c>
    </row>
    <row r="47" spans="1:22" x14ac:dyDescent="0.4">
      <c r="A47" s="237"/>
      <c r="B47" s="238" t="s">
        <v>71</v>
      </c>
      <c r="C47" s="242"/>
      <c r="D47" s="201" t="s">
        <v>65</v>
      </c>
      <c r="E47" s="25" t="s">
        <v>142</v>
      </c>
      <c r="F47" s="9">
        <v>0</v>
      </c>
      <c r="G47" s="9">
        <f>1800*1.1765</f>
        <v>2117.7000000000003</v>
      </c>
      <c r="H47" s="9">
        <v>0</v>
      </c>
      <c r="I47" s="9"/>
      <c r="J47" s="9"/>
      <c r="K47" s="9">
        <v>1079</v>
      </c>
      <c r="L47" s="9"/>
      <c r="M47" s="9">
        <v>1965</v>
      </c>
      <c r="N47" s="9"/>
      <c r="O47" s="9">
        <v>0</v>
      </c>
      <c r="P47" s="9">
        <v>0</v>
      </c>
      <c r="Q47" s="9">
        <v>0</v>
      </c>
      <c r="R47" s="9">
        <f t="shared" si="11"/>
        <v>5161.7000000000007</v>
      </c>
    </row>
    <row r="48" spans="1:22" x14ac:dyDescent="0.4">
      <c r="A48" s="237"/>
      <c r="B48" s="239"/>
      <c r="C48" s="242"/>
      <c r="D48" s="201" t="s">
        <v>141</v>
      </c>
      <c r="E48" s="25" t="s">
        <v>143</v>
      </c>
      <c r="F48" s="9">
        <v>0</v>
      </c>
      <c r="G48" s="9"/>
      <c r="H48" s="9">
        <v>5360</v>
      </c>
      <c r="I48" s="9">
        <v>8400</v>
      </c>
      <c r="J48" s="9"/>
      <c r="K48" s="9"/>
      <c r="L48" s="9"/>
      <c r="M48" s="9">
        <v>4032.9</v>
      </c>
      <c r="N48" s="9"/>
      <c r="O48" s="9"/>
      <c r="P48" s="9">
        <v>0</v>
      </c>
      <c r="Q48" s="9">
        <v>0</v>
      </c>
      <c r="R48" s="9">
        <f>SUM(F48:Q48)</f>
        <v>17792.900000000001</v>
      </c>
    </row>
    <row r="49" spans="1:21" x14ac:dyDescent="0.4">
      <c r="A49" s="237"/>
      <c r="B49" s="238" t="s">
        <v>72</v>
      </c>
      <c r="C49" s="242"/>
      <c r="D49" s="27" t="s">
        <v>73</v>
      </c>
      <c r="E49" s="201" t="s">
        <v>74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15">
        <v>0</v>
      </c>
      <c r="L49" s="15">
        <v>0</v>
      </c>
      <c r="M49" s="15">
        <v>0</v>
      </c>
      <c r="N49" s="15">
        <v>0</v>
      </c>
      <c r="O49" s="15">
        <f>47000*1.1765</f>
        <v>55295.500000000007</v>
      </c>
      <c r="P49" s="9">
        <v>0</v>
      </c>
      <c r="Q49" s="9">
        <v>0</v>
      </c>
      <c r="R49" s="9">
        <f t="shared" si="11"/>
        <v>55295.500000000007</v>
      </c>
    </row>
    <row r="50" spans="1:21" x14ac:dyDescent="0.4">
      <c r="A50" s="237"/>
      <c r="B50" s="242"/>
      <c r="C50" s="242"/>
      <c r="D50" s="240" t="s">
        <v>75</v>
      </c>
      <c r="E50" s="201" t="s">
        <v>136</v>
      </c>
      <c r="F50" s="9">
        <v>0</v>
      </c>
      <c r="G50" s="9">
        <v>0</v>
      </c>
      <c r="H50" s="9">
        <v>6420</v>
      </c>
      <c r="I50" s="9">
        <v>0</v>
      </c>
      <c r="J50" s="9">
        <v>1980</v>
      </c>
      <c r="K50" s="15">
        <v>0</v>
      </c>
      <c r="L50" s="15">
        <v>0</v>
      </c>
      <c r="M50" s="15">
        <v>3000</v>
      </c>
      <c r="N50" s="15">
        <v>0</v>
      </c>
      <c r="O50" s="9">
        <v>0</v>
      </c>
      <c r="P50" s="9">
        <v>600</v>
      </c>
      <c r="Q50" s="9"/>
      <c r="R50" s="9">
        <f t="shared" si="11"/>
        <v>12000</v>
      </c>
    </row>
    <row r="51" spans="1:21" x14ac:dyDescent="0.4">
      <c r="A51" s="237"/>
      <c r="B51" s="242"/>
      <c r="C51" s="242"/>
      <c r="D51" s="241"/>
      <c r="E51" s="201" t="s">
        <v>76</v>
      </c>
      <c r="F51" s="9">
        <v>0</v>
      </c>
      <c r="G51" s="9">
        <v>360</v>
      </c>
      <c r="H51" s="9">
        <v>0</v>
      </c>
      <c r="I51" s="9">
        <v>0</v>
      </c>
      <c r="J51" s="9">
        <v>0</v>
      </c>
      <c r="K51" s="15">
        <v>0</v>
      </c>
      <c r="L51" s="15"/>
      <c r="M51" s="15">
        <v>0</v>
      </c>
      <c r="N51" s="15">
        <v>0</v>
      </c>
      <c r="O51" s="9">
        <v>0</v>
      </c>
      <c r="P51" s="9">
        <v>0</v>
      </c>
      <c r="Q51" s="9">
        <v>0</v>
      </c>
      <c r="R51" s="9">
        <f t="shared" si="11"/>
        <v>360</v>
      </c>
    </row>
    <row r="52" spans="1:21" hidden="1" x14ac:dyDescent="0.4">
      <c r="A52" s="260"/>
      <c r="B52" s="239"/>
      <c r="C52" s="239"/>
      <c r="D52" s="244"/>
      <c r="E52" s="201" t="s">
        <v>77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15">
        <v>0</v>
      </c>
      <c r="L52" s="15"/>
      <c r="M52" s="15">
        <v>0</v>
      </c>
      <c r="N52" s="15">
        <v>0</v>
      </c>
      <c r="O52" s="9">
        <v>0</v>
      </c>
      <c r="P52" s="9">
        <v>0</v>
      </c>
      <c r="Q52" s="9">
        <v>0</v>
      </c>
      <c r="R52" s="9">
        <f t="shared" si="11"/>
        <v>0</v>
      </c>
    </row>
    <row r="53" spans="1:21" x14ac:dyDescent="0.4">
      <c r="A53" s="245" t="s">
        <v>78</v>
      </c>
      <c r="B53" s="245"/>
      <c r="C53" s="245"/>
      <c r="D53" s="245"/>
      <c r="E53" s="245"/>
      <c r="F53" s="28">
        <f>SUM(F34:F49)</f>
        <v>0</v>
      </c>
      <c r="G53" s="28">
        <f t="shared" ref="G53:R53" si="12">SUM(G34:G52)</f>
        <v>22073.690000000002</v>
      </c>
      <c r="H53" s="28">
        <f t="shared" si="12"/>
        <v>87296</v>
      </c>
      <c r="I53" s="28">
        <f t="shared" si="12"/>
        <v>8400</v>
      </c>
      <c r="J53" s="28">
        <f t="shared" si="12"/>
        <v>4803.6000000000004</v>
      </c>
      <c r="K53" s="28">
        <f t="shared" si="12"/>
        <v>1079</v>
      </c>
      <c r="L53" s="28">
        <f t="shared" si="12"/>
        <v>0</v>
      </c>
      <c r="M53" s="28">
        <f>SUM(M34:M52)</f>
        <v>11821.5</v>
      </c>
      <c r="N53" s="29">
        <f t="shared" si="12"/>
        <v>0</v>
      </c>
      <c r="O53" s="28">
        <f t="shared" si="12"/>
        <v>123100.72450000001</v>
      </c>
      <c r="P53" s="28">
        <f t="shared" si="12"/>
        <v>600</v>
      </c>
      <c r="Q53" s="28">
        <f t="shared" si="12"/>
        <v>0</v>
      </c>
      <c r="R53" s="30">
        <f t="shared" si="12"/>
        <v>259174.51450000002</v>
      </c>
      <c r="U53" s="34"/>
    </row>
    <row r="54" spans="1:21" x14ac:dyDescent="0.4">
      <c r="A54" s="246" t="s">
        <v>79</v>
      </c>
      <c r="B54" s="246"/>
      <c r="C54" s="246"/>
      <c r="D54" s="246"/>
      <c r="E54" s="246"/>
      <c r="F54" s="31">
        <f>SUM(F33,F53)</f>
        <v>0</v>
      </c>
      <c r="G54" s="31">
        <f t="shared" ref="G54:O54" si="13">G33+G53</f>
        <v>382343.59</v>
      </c>
      <c r="H54" s="31">
        <f t="shared" si="13"/>
        <v>1122335.8999999999</v>
      </c>
      <c r="I54" s="31">
        <f t="shared" si="13"/>
        <v>1032100</v>
      </c>
      <c r="J54" s="31">
        <f t="shared" si="13"/>
        <v>449973.6</v>
      </c>
      <c r="K54" s="31">
        <f t="shared" si="13"/>
        <v>12679</v>
      </c>
      <c r="L54" s="31">
        <f t="shared" si="13"/>
        <v>8830</v>
      </c>
      <c r="M54" s="31">
        <f t="shared" si="13"/>
        <v>480281.5</v>
      </c>
      <c r="N54" s="31">
        <f t="shared" si="13"/>
        <v>362610</v>
      </c>
      <c r="O54" s="31">
        <f t="shared" si="13"/>
        <v>134990.72450000001</v>
      </c>
      <c r="P54" s="31">
        <f>SUM(P33,P53)</f>
        <v>6600</v>
      </c>
      <c r="Q54" s="31">
        <f>SUM(Q33,Q53)</f>
        <v>7230</v>
      </c>
      <c r="R54" s="31">
        <f>R33+R53</f>
        <v>3999974.3144999999</v>
      </c>
    </row>
    <row r="55" spans="1:21" x14ac:dyDescent="0.4">
      <c r="A55" s="234" t="s">
        <v>80</v>
      </c>
      <c r="B55" s="234"/>
      <c r="C55" s="234"/>
      <c r="D55" s="234"/>
      <c r="E55" s="234"/>
      <c r="F55" s="32">
        <f>F33+F53</f>
        <v>0</v>
      </c>
      <c r="G55" s="32">
        <f>G33+G53</f>
        <v>382343.59</v>
      </c>
      <c r="H55" s="32">
        <f>SUM(H54:H54)</f>
        <v>1122335.8999999999</v>
      </c>
      <c r="I55" s="32">
        <f>SUM(I54:I54)</f>
        <v>1032100</v>
      </c>
      <c r="J55" s="32">
        <f t="shared" ref="J55:Q55" si="14">SUM(J54:J54)</f>
        <v>449973.6</v>
      </c>
      <c r="K55" s="32">
        <f t="shared" si="14"/>
        <v>12679</v>
      </c>
      <c r="L55" s="32">
        <f t="shared" si="14"/>
        <v>8830</v>
      </c>
      <c r="M55" s="32">
        <f t="shared" si="14"/>
        <v>480281.5</v>
      </c>
      <c r="N55" s="32">
        <f t="shared" si="14"/>
        <v>362610</v>
      </c>
      <c r="O55" s="32">
        <f t="shared" si="14"/>
        <v>134990.72450000001</v>
      </c>
      <c r="P55" s="32">
        <f t="shared" si="14"/>
        <v>6600</v>
      </c>
      <c r="Q55" s="32">
        <f t="shared" si="14"/>
        <v>7230</v>
      </c>
      <c r="R55" s="32">
        <f>R33+R53</f>
        <v>3999974.3144999999</v>
      </c>
    </row>
    <row r="56" spans="1:21" ht="69" customHeight="1" x14ac:dyDescent="0.4">
      <c r="A56" s="235" t="s">
        <v>81</v>
      </c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</row>
    <row r="57" spans="1:21" x14ac:dyDescent="0.4"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1:21" x14ac:dyDescent="0.4">
      <c r="A58" s="136" t="s">
        <v>82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</row>
    <row r="59" spans="1:21" hidden="1" x14ac:dyDescent="0.4">
      <c r="A59" s="236" t="s">
        <v>55</v>
      </c>
      <c r="B59" s="238" t="s">
        <v>19</v>
      </c>
      <c r="C59" s="240" t="s">
        <v>55</v>
      </c>
      <c r="D59" s="201" t="s">
        <v>56</v>
      </c>
      <c r="E59" s="201" t="s">
        <v>57</v>
      </c>
      <c r="F59" s="9">
        <v>0</v>
      </c>
      <c r="G59" s="15">
        <v>0</v>
      </c>
      <c r="H59" s="9"/>
      <c r="I59" s="9">
        <v>0</v>
      </c>
      <c r="J59" s="9">
        <v>0</v>
      </c>
      <c r="K59" s="9">
        <v>0</v>
      </c>
      <c r="L59" s="9">
        <v>0</v>
      </c>
      <c r="M59" s="15">
        <v>0</v>
      </c>
      <c r="N59" s="9">
        <v>0</v>
      </c>
      <c r="O59" s="9">
        <v>0</v>
      </c>
      <c r="P59" s="9">
        <v>0</v>
      </c>
      <c r="Q59" s="9"/>
      <c r="R59" s="9">
        <f t="shared" ref="R59:R61" si="15">SUM(F59:Q59)</f>
        <v>0</v>
      </c>
    </row>
    <row r="60" spans="1:21" x14ac:dyDescent="0.4">
      <c r="A60" s="237"/>
      <c r="B60" s="239"/>
      <c r="C60" s="241"/>
      <c r="D60" s="201" t="s">
        <v>55</v>
      </c>
      <c r="E60" s="201" t="s">
        <v>59</v>
      </c>
      <c r="F60" s="9"/>
      <c r="G60" s="15"/>
      <c r="H60" s="9">
        <f>15000</f>
        <v>15000</v>
      </c>
      <c r="I60" s="9"/>
      <c r="J60" s="9"/>
      <c r="K60" s="9"/>
      <c r="L60" s="9"/>
      <c r="M60" s="15"/>
      <c r="N60" s="9"/>
      <c r="O60" s="9"/>
      <c r="P60" s="9"/>
      <c r="Q60" s="9"/>
      <c r="R60" s="9">
        <f t="shared" si="15"/>
        <v>15000</v>
      </c>
    </row>
    <row r="61" spans="1:21" ht="17.399999999999999" hidden="1" customHeight="1" x14ac:dyDescent="0.4">
      <c r="A61" s="237"/>
      <c r="B61" s="243" t="s">
        <v>26</v>
      </c>
      <c r="C61" s="242"/>
      <c r="D61" s="238" t="s">
        <v>60</v>
      </c>
      <c r="E61" s="25" t="s">
        <v>61</v>
      </c>
      <c r="F61" s="9"/>
      <c r="G61" s="15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f t="shared" si="15"/>
        <v>0</v>
      </c>
    </row>
    <row r="62" spans="1:21" x14ac:dyDescent="0.4">
      <c r="A62" s="237"/>
      <c r="B62" s="243"/>
      <c r="C62" s="242"/>
      <c r="D62" s="242"/>
      <c r="E62" s="25" t="s">
        <v>83</v>
      </c>
      <c r="F62" s="9">
        <v>0</v>
      </c>
      <c r="G62" s="9">
        <v>14110</v>
      </c>
      <c r="H62" s="9"/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/>
      <c r="O62" s="9"/>
      <c r="P62" s="9">
        <v>0</v>
      </c>
      <c r="Q62" s="9">
        <v>0</v>
      </c>
      <c r="R62" s="9">
        <f>SUM(F62:Q62)</f>
        <v>14110</v>
      </c>
    </row>
    <row r="63" spans="1:21" x14ac:dyDescent="0.4">
      <c r="A63" s="237"/>
      <c r="B63" s="243"/>
      <c r="C63" s="242"/>
      <c r="D63" s="239"/>
      <c r="E63" s="25" t="s">
        <v>122</v>
      </c>
      <c r="F63" s="9"/>
      <c r="G63" s="9"/>
      <c r="H63" s="9"/>
      <c r="I63" s="9"/>
      <c r="J63" s="9"/>
      <c r="K63" s="9"/>
      <c r="L63" s="9"/>
      <c r="M63" s="9">
        <v>0</v>
      </c>
      <c r="O63" s="9">
        <v>57634</v>
      </c>
      <c r="P63" s="9"/>
      <c r="Q63" s="9"/>
      <c r="R63" s="9">
        <f>SUM(F63:Q63)</f>
        <v>57634</v>
      </c>
    </row>
    <row r="64" spans="1:21" hidden="1" x14ac:dyDescent="0.4">
      <c r="A64" s="237"/>
      <c r="B64" s="243"/>
      <c r="C64" s="242"/>
      <c r="D64" s="201" t="s">
        <v>63</v>
      </c>
      <c r="E64" s="25" t="s">
        <v>64</v>
      </c>
      <c r="F64" s="9">
        <v>0</v>
      </c>
      <c r="G64" s="9"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>
        <f t="shared" ref="R64:R76" si="16">SUM(F64:Q64)</f>
        <v>0</v>
      </c>
    </row>
    <row r="65" spans="1:18" hidden="1" x14ac:dyDescent="0.4">
      <c r="A65" s="237"/>
      <c r="B65" s="243"/>
      <c r="C65" s="242"/>
      <c r="D65" s="201" t="s">
        <v>65</v>
      </c>
      <c r="E65" s="25" t="s">
        <v>66</v>
      </c>
      <c r="F65" s="9"/>
      <c r="G65" s="9"/>
      <c r="H65" s="9"/>
      <c r="I65" s="9"/>
      <c r="J65" s="9"/>
      <c r="K65" s="9"/>
      <c r="L65" s="9"/>
      <c r="M65" s="9"/>
      <c r="N65" s="9"/>
      <c r="O65" s="26"/>
      <c r="P65" s="9"/>
      <c r="Q65" s="9"/>
      <c r="R65" s="9">
        <f t="shared" si="16"/>
        <v>0</v>
      </c>
    </row>
    <row r="66" spans="1:18" x14ac:dyDescent="0.4">
      <c r="A66" s="237"/>
      <c r="B66" s="243"/>
      <c r="C66" s="242"/>
      <c r="D66" s="201" t="s">
        <v>65</v>
      </c>
      <c r="E66" s="25" t="s">
        <v>67</v>
      </c>
      <c r="F66" s="9">
        <v>0</v>
      </c>
      <c r="G66" s="9">
        <v>1550</v>
      </c>
      <c r="H66" s="9"/>
      <c r="I66" s="9"/>
      <c r="J66" s="9">
        <v>2400</v>
      </c>
      <c r="K66" s="9"/>
      <c r="L66" s="9"/>
      <c r="M66" s="9">
        <v>2400</v>
      </c>
      <c r="N66" s="9"/>
      <c r="O66" s="9"/>
      <c r="P66" s="9">
        <v>0</v>
      </c>
      <c r="Q66" s="9"/>
      <c r="R66" s="9">
        <f>SUM(F66:Q66)</f>
        <v>6350</v>
      </c>
    </row>
    <row r="67" spans="1:18" x14ac:dyDescent="0.4">
      <c r="A67" s="237"/>
      <c r="B67" s="243"/>
      <c r="C67" s="242"/>
      <c r="D67" s="238" t="s">
        <v>55</v>
      </c>
      <c r="E67" s="25" t="s">
        <v>137</v>
      </c>
      <c r="F67" s="9">
        <v>0</v>
      </c>
      <c r="G67" s="9">
        <v>0</v>
      </c>
      <c r="H67" s="9">
        <v>47000</v>
      </c>
      <c r="I67" s="9"/>
      <c r="J67" s="9"/>
      <c r="K67" s="9"/>
      <c r="L67" s="9"/>
      <c r="M67" s="9">
        <v>0</v>
      </c>
      <c r="N67" s="9"/>
      <c r="O67" s="9"/>
      <c r="P67" s="9">
        <v>0</v>
      </c>
      <c r="Q67" s="9"/>
      <c r="R67" s="9">
        <f>SUM(F67:Q67)</f>
        <v>47000</v>
      </c>
    </row>
    <row r="68" spans="1:18" hidden="1" x14ac:dyDescent="0.4">
      <c r="A68" s="237"/>
      <c r="B68" s="243"/>
      <c r="C68" s="242"/>
      <c r="D68" s="239"/>
      <c r="E68" s="25" t="s">
        <v>139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>
        <f>SUM(F68:Q68)</f>
        <v>0</v>
      </c>
    </row>
    <row r="69" spans="1:18" x14ac:dyDescent="0.4">
      <c r="A69" s="237"/>
      <c r="B69" s="243"/>
      <c r="C69" s="242"/>
      <c r="D69" s="201" t="s">
        <v>68</v>
      </c>
      <c r="E69" s="25" t="s">
        <v>69</v>
      </c>
      <c r="F69" s="15">
        <v>0</v>
      </c>
      <c r="G69" s="169">
        <v>1172</v>
      </c>
      <c r="H69" s="9">
        <v>2220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/>
      <c r="O69" s="9"/>
      <c r="P69" s="9">
        <v>0</v>
      </c>
      <c r="Q69" s="9">
        <v>0</v>
      </c>
      <c r="R69" s="9">
        <f>SUM(F69:Q69)</f>
        <v>3392</v>
      </c>
    </row>
    <row r="70" spans="1:18" hidden="1" x14ac:dyDescent="0.4">
      <c r="A70" s="237"/>
      <c r="B70" s="200" t="s">
        <v>43</v>
      </c>
      <c r="C70" s="242"/>
      <c r="D70" s="201" t="s">
        <v>65</v>
      </c>
      <c r="E70" s="25" t="s">
        <v>70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>
        <f t="shared" si="16"/>
        <v>0</v>
      </c>
    </row>
    <row r="71" spans="1:18" x14ac:dyDescent="0.4">
      <c r="A71" s="237"/>
      <c r="B71" s="238" t="s">
        <v>71</v>
      </c>
      <c r="C71" s="242"/>
      <c r="D71" s="201" t="s">
        <v>65</v>
      </c>
      <c r="E71" s="25" t="s">
        <v>142</v>
      </c>
      <c r="F71" s="9">
        <v>0</v>
      </c>
      <c r="G71" s="9">
        <v>1800</v>
      </c>
      <c r="H71" s="9">
        <v>0</v>
      </c>
      <c r="I71" s="9"/>
      <c r="J71" s="9"/>
      <c r="K71" s="9">
        <v>917</v>
      </c>
      <c r="L71" s="9"/>
      <c r="M71" s="9">
        <v>1670</v>
      </c>
      <c r="N71" s="9"/>
      <c r="O71" s="9"/>
      <c r="P71" s="9"/>
      <c r="Q71" s="9">
        <v>0</v>
      </c>
      <c r="R71" s="9">
        <f t="shared" si="16"/>
        <v>4387</v>
      </c>
    </row>
    <row r="72" spans="1:18" x14ac:dyDescent="0.4">
      <c r="A72" s="237"/>
      <c r="B72" s="239"/>
      <c r="C72" s="242"/>
      <c r="D72" s="201" t="s">
        <v>141</v>
      </c>
      <c r="E72" s="25" t="s">
        <v>143</v>
      </c>
      <c r="F72" s="9">
        <v>0</v>
      </c>
      <c r="G72" s="9"/>
      <c r="H72" s="9">
        <v>5360</v>
      </c>
      <c r="I72" s="9">
        <v>8400</v>
      </c>
      <c r="J72" s="9"/>
      <c r="K72" s="9"/>
      <c r="L72" s="9"/>
      <c r="M72" s="9">
        <v>3980</v>
      </c>
      <c r="N72" s="9"/>
      <c r="O72" s="9"/>
      <c r="P72" s="9"/>
      <c r="Q72" s="9">
        <v>0</v>
      </c>
      <c r="R72" s="9">
        <f t="shared" si="16"/>
        <v>17740</v>
      </c>
    </row>
    <row r="73" spans="1:18" x14ac:dyDescent="0.4">
      <c r="A73" s="237"/>
      <c r="B73" s="238" t="s">
        <v>72</v>
      </c>
      <c r="C73" s="242"/>
      <c r="D73" s="27" t="s">
        <v>73</v>
      </c>
      <c r="E73" s="201" t="s">
        <v>74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15">
        <v>0</v>
      </c>
      <c r="L73" s="15">
        <v>0</v>
      </c>
      <c r="M73" s="15">
        <v>0</v>
      </c>
      <c r="N73" s="15">
        <v>0</v>
      </c>
      <c r="O73" s="15">
        <f>47000</f>
        <v>47000</v>
      </c>
      <c r="P73" s="15"/>
      <c r="Q73" s="15">
        <v>0</v>
      </c>
      <c r="R73" s="9">
        <f>SUM(F73:Q73)</f>
        <v>47000</v>
      </c>
    </row>
    <row r="74" spans="1:18" x14ac:dyDescent="0.4">
      <c r="A74" s="237"/>
      <c r="B74" s="242"/>
      <c r="C74" s="242"/>
      <c r="D74" s="240" t="s">
        <v>75</v>
      </c>
      <c r="E74" s="201" t="s">
        <v>123</v>
      </c>
      <c r="F74" s="9">
        <v>0</v>
      </c>
      <c r="G74" s="9">
        <v>0</v>
      </c>
      <c r="H74" s="9">
        <v>6420</v>
      </c>
      <c r="I74" s="9">
        <v>0</v>
      </c>
      <c r="J74" s="9">
        <v>1980</v>
      </c>
      <c r="K74" s="15">
        <v>0</v>
      </c>
      <c r="L74" s="15">
        <v>0</v>
      </c>
      <c r="M74" s="15">
        <f>50*60</f>
        <v>3000</v>
      </c>
      <c r="N74" s="15">
        <v>0</v>
      </c>
      <c r="O74" s="9">
        <v>0</v>
      </c>
      <c r="P74" s="9">
        <f>10*60</f>
        <v>600</v>
      </c>
      <c r="Q74" s="9"/>
      <c r="R74" s="9">
        <f t="shared" si="16"/>
        <v>12000</v>
      </c>
    </row>
    <row r="75" spans="1:18" x14ac:dyDescent="0.4">
      <c r="A75" s="237"/>
      <c r="B75" s="242"/>
      <c r="C75" s="242"/>
      <c r="D75" s="241"/>
      <c r="E75" s="201" t="s">
        <v>76</v>
      </c>
      <c r="F75" s="9">
        <v>0</v>
      </c>
      <c r="G75" s="9">
        <v>360</v>
      </c>
      <c r="H75" s="9">
        <v>0</v>
      </c>
      <c r="I75" s="9">
        <v>0</v>
      </c>
      <c r="J75" s="9">
        <v>0</v>
      </c>
      <c r="K75" s="15">
        <v>0</v>
      </c>
      <c r="L75" s="15">
        <v>0</v>
      </c>
      <c r="M75" s="15">
        <v>0</v>
      </c>
      <c r="N75" s="15">
        <v>0</v>
      </c>
      <c r="O75" s="9">
        <v>0</v>
      </c>
      <c r="P75" s="9">
        <v>0</v>
      </c>
      <c r="Q75" s="9">
        <v>0</v>
      </c>
      <c r="R75" s="9">
        <f t="shared" si="16"/>
        <v>360</v>
      </c>
    </row>
    <row r="76" spans="1:18" hidden="1" x14ac:dyDescent="0.4">
      <c r="A76" s="237"/>
      <c r="B76" s="239"/>
      <c r="C76" s="239"/>
      <c r="D76" s="244"/>
      <c r="E76" s="201" t="s">
        <v>77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15">
        <v>0</v>
      </c>
      <c r="L76" s="15">
        <v>0</v>
      </c>
      <c r="M76" s="15">
        <v>0</v>
      </c>
      <c r="N76" s="15">
        <v>0</v>
      </c>
      <c r="O76" s="9">
        <v>0</v>
      </c>
      <c r="P76" s="9">
        <v>0</v>
      </c>
      <c r="Q76" s="9">
        <v>0</v>
      </c>
      <c r="R76" s="9">
        <f t="shared" si="16"/>
        <v>0</v>
      </c>
    </row>
    <row r="77" spans="1:18" ht="17.399999999999999" customHeight="1" x14ac:dyDescent="0.4">
      <c r="A77" s="247" t="s">
        <v>78</v>
      </c>
      <c r="B77" s="248"/>
      <c r="C77" s="248"/>
      <c r="D77" s="248"/>
      <c r="E77" s="249"/>
      <c r="F77" s="28">
        <f t="shared" ref="F77:Q77" si="17">SUM(F59:F76)</f>
        <v>0</v>
      </c>
      <c r="G77" s="28">
        <f t="shared" si="17"/>
        <v>18992</v>
      </c>
      <c r="H77" s="28">
        <f>SUM(H59:H76)</f>
        <v>76000</v>
      </c>
      <c r="I77" s="28">
        <f>SUM(I59:I76)</f>
        <v>8400</v>
      </c>
      <c r="J77" s="28">
        <f t="shared" si="17"/>
        <v>4380</v>
      </c>
      <c r="K77" s="28">
        <f t="shared" si="17"/>
        <v>917</v>
      </c>
      <c r="L77" s="28">
        <f t="shared" si="17"/>
        <v>0</v>
      </c>
      <c r="M77" s="28">
        <f>SUM(M59:M76)</f>
        <v>11050</v>
      </c>
      <c r="N77" s="28">
        <f t="shared" si="17"/>
        <v>0</v>
      </c>
      <c r="O77" s="28">
        <f t="shared" si="17"/>
        <v>104634</v>
      </c>
      <c r="P77" s="28">
        <f t="shared" si="17"/>
        <v>600</v>
      </c>
      <c r="Q77" s="28">
        <f t="shared" si="17"/>
        <v>0</v>
      </c>
      <c r="R77" s="30">
        <f>SUM(R59:R76)</f>
        <v>224973</v>
      </c>
    </row>
    <row r="78" spans="1:18" x14ac:dyDescent="0.4">
      <c r="A78" s="250" t="s">
        <v>84</v>
      </c>
      <c r="B78" s="251"/>
      <c r="C78" s="251"/>
      <c r="D78" s="251"/>
      <c r="E78" s="252"/>
      <c r="F78" s="35">
        <f>SUM(F60:F67)*17.65%+F71*17.65%+F73*17.65%</f>
        <v>0</v>
      </c>
      <c r="G78" s="35">
        <f>SUM(G60:G67)*17.65%+G71*17.65%+G73*17.65%</f>
        <v>3081.6899999999996</v>
      </c>
      <c r="H78" s="35">
        <f>(SUM(H60:H69)-220)*17.65%+H71*17.65%+H73*17.65%</f>
        <v>11296</v>
      </c>
      <c r="I78" s="35">
        <f t="shared" ref="I78:L78" si="18">SUM(I60:I67)*17.65%+I71*17.65%+I73*17.65%</f>
        <v>0</v>
      </c>
      <c r="J78" s="35">
        <f t="shared" si="18"/>
        <v>423.59999999999997</v>
      </c>
      <c r="K78" s="35">
        <f t="shared" si="18"/>
        <v>161.85049999999998</v>
      </c>
      <c r="L78" s="35">
        <f t="shared" si="18"/>
        <v>0</v>
      </c>
      <c r="M78" s="35">
        <f>SUM(M60:M67)*17.65%+M71*17.65%+M73*17.65%+53</f>
        <v>771.35500000000002</v>
      </c>
      <c r="N78" s="35">
        <f>SUM(N60:N67)*17.65%+N71*17.65%+N73*17.65%</f>
        <v>0</v>
      </c>
      <c r="O78" s="35">
        <f>SUM(O60:O67)*17.65%+O71*17.65%+O73*17.65%</f>
        <v>18467.900999999998</v>
      </c>
      <c r="P78" s="35">
        <f>SUM(P60:P67)*17.65%+P71*17.65%+P73*17.65%</f>
        <v>0</v>
      </c>
      <c r="Q78" s="35">
        <f>SUM(Q60:Q67)*17.65%+Q71*17.65%+Q73*17.65%</f>
        <v>0</v>
      </c>
      <c r="R78" s="35">
        <f>SUM(F78:Q78)</f>
        <v>34202.396499999995</v>
      </c>
    </row>
    <row r="79" spans="1:18" x14ac:dyDescent="0.4">
      <c r="A79" s="234" t="s">
        <v>85</v>
      </c>
      <c r="B79" s="234"/>
      <c r="C79" s="234"/>
      <c r="D79" s="234"/>
      <c r="E79" s="234"/>
      <c r="F79" s="36">
        <f>F77+F78</f>
        <v>0</v>
      </c>
      <c r="G79" s="36">
        <f t="shared" ref="G79:Q79" si="19">G77+G78</f>
        <v>22073.69</v>
      </c>
      <c r="H79" s="36">
        <f>H77+H78</f>
        <v>87296</v>
      </c>
      <c r="I79" s="36">
        <f t="shared" si="19"/>
        <v>8400</v>
      </c>
      <c r="J79" s="36">
        <f>J77+J78-1</f>
        <v>4802.6000000000004</v>
      </c>
      <c r="K79" s="36">
        <f t="shared" si="19"/>
        <v>1078.8505</v>
      </c>
      <c r="L79" s="36">
        <f>L77+L78</f>
        <v>0</v>
      </c>
      <c r="M79" s="36">
        <f t="shared" si="19"/>
        <v>11821.355</v>
      </c>
      <c r="N79" s="36">
        <f t="shared" si="19"/>
        <v>0</v>
      </c>
      <c r="O79" s="36">
        <f t="shared" si="19"/>
        <v>123101.901</v>
      </c>
      <c r="P79" s="36">
        <f t="shared" si="19"/>
        <v>600</v>
      </c>
      <c r="Q79" s="36">
        <f t="shared" si="19"/>
        <v>0</v>
      </c>
      <c r="R79" s="36">
        <f>R77+R78</f>
        <v>259175.3965</v>
      </c>
    </row>
    <row r="80" spans="1:18" x14ac:dyDescent="0.4">
      <c r="H80" s="33"/>
      <c r="I80" s="33"/>
      <c r="J80" s="33"/>
      <c r="K80" s="33"/>
      <c r="L80" s="33"/>
      <c r="M80" s="33"/>
      <c r="N80" s="33"/>
      <c r="O80" s="33"/>
      <c r="P80" s="33"/>
    </row>
    <row r="81" spans="6:18" hidden="1" x14ac:dyDescent="0.4">
      <c r="L81" s="35"/>
      <c r="M81" s="35"/>
      <c r="N81" s="33"/>
    </row>
    <row r="82" spans="6:18" hidden="1" x14ac:dyDescent="0.4">
      <c r="O82" s="37"/>
    </row>
    <row r="83" spans="6:18" hidden="1" x14ac:dyDescent="0.4">
      <c r="O83" s="37"/>
      <c r="P83" s="33"/>
      <c r="R83" s="33"/>
    </row>
    <row r="84" spans="6:18" hidden="1" x14ac:dyDescent="0.4">
      <c r="O84" s="37"/>
    </row>
    <row r="85" spans="6:18" hidden="1" x14ac:dyDescent="0.4">
      <c r="F85" s="37"/>
      <c r="O85" s="33"/>
    </row>
    <row r="87" spans="6:18" x14ac:dyDescent="0.4">
      <c r="F87" s="34"/>
      <c r="H87" s="34"/>
    </row>
    <row r="88" spans="6:18" x14ac:dyDescent="0.4">
      <c r="I88" s="154"/>
    </row>
  </sheetData>
  <mergeCells count="48">
    <mergeCell ref="A1:F1"/>
    <mergeCell ref="A3:D3"/>
    <mergeCell ref="A4:E4"/>
    <mergeCell ref="A5:A32"/>
    <mergeCell ref="B5:B6"/>
    <mergeCell ref="C5:C6"/>
    <mergeCell ref="B7:E7"/>
    <mergeCell ref="B8:B20"/>
    <mergeCell ref="C8:C11"/>
    <mergeCell ref="D8:D10"/>
    <mergeCell ref="C12:C16"/>
    <mergeCell ref="C17:C20"/>
    <mergeCell ref="B21:E21"/>
    <mergeCell ref="B23:E23"/>
    <mergeCell ref="B24:B29"/>
    <mergeCell ref="C24:C27"/>
    <mergeCell ref="D24:D27"/>
    <mergeCell ref="C28:C29"/>
    <mergeCell ref="D28:D29"/>
    <mergeCell ref="A55:E55"/>
    <mergeCell ref="B30:E30"/>
    <mergeCell ref="B32:E32"/>
    <mergeCell ref="A33:E33"/>
    <mergeCell ref="A34:A52"/>
    <mergeCell ref="B34:B36"/>
    <mergeCell ref="C34:C52"/>
    <mergeCell ref="D34:D35"/>
    <mergeCell ref="B37:B45"/>
    <mergeCell ref="D37:D39"/>
    <mergeCell ref="D43:D44"/>
    <mergeCell ref="B47:B48"/>
    <mergeCell ref="B49:B52"/>
    <mergeCell ref="D50:D52"/>
    <mergeCell ref="A53:E53"/>
    <mergeCell ref="A54:E54"/>
    <mergeCell ref="A77:E77"/>
    <mergeCell ref="A78:E78"/>
    <mergeCell ref="A79:E79"/>
    <mergeCell ref="A56:R56"/>
    <mergeCell ref="A59:A76"/>
    <mergeCell ref="B59:B60"/>
    <mergeCell ref="C59:C76"/>
    <mergeCell ref="B61:B69"/>
    <mergeCell ref="D61:D63"/>
    <mergeCell ref="D67:D68"/>
    <mergeCell ref="B71:B72"/>
    <mergeCell ref="B73:B76"/>
    <mergeCell ref="D74:D7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6" max="17" man="1"/>
    <brk id="79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D71C-4A8E-42DA-B561-0B30C82FDF2F}">
  <sheetPr>
    <pageSetUpPr fitToPage="1"/>
  </sheetPr>
  <dimension ref="A1:R88"/>
  <sheetViews>
    <sheetView zoomScale="70" zoomScaleNormal="70" workbookViewId="0">
      <selection activeCell="E17" sqref="E17:F17"/>
    </sheetView>
  </sheetViews>
  <sheetFormatPr defaultRowHeight="17.399999999999999" x14ac:dyDescent="0.4"/>
  <cols>
    <col min="1" max="1" width="8.69921875" customWidth="1"/>
    <col min="2" max="2" width="13" bestFit="1" customWidth="1"/>
    <col min="3" max="3" width="14.8984375" customWidth="1"/>
    <col min="4" max="4" width="17.8984375" customWidth="1"/>
    <col min="5" max="5" width="41.5" customWidth="1"/>
    <col min="6" max="6" width="12.69921875" bestFit="1" customWidth="1"/>
    <col min="7" max="10" width="13.69921875" customWidth="1"/>
    <col min="11" max="11" width="14.69921875" customWidth="1"/>
    <col min="12" max="12" width="13.69921875" customWidth="1"/>
    <col min="13" max="13" width="13" customWidth="1"/>
    <col min="14" max="14" width="13.69921875" customWidth="1"/>
    <col min="15" max="15" width="13" bestFit="1" customWidth="1"/>
    <col min="16" max="16" width="12.3984375" customWidth="1"/>
    <col min="17" max="17" width="12" customWidth="1"/>
    <col min="18" max="18" width="15.5" bestFit="1" customWidth="1"/>
  </cols>
  <sheetData>
    <row r="1" spans="1:18" ht="30" x14ac:dyDescent="0.4">
      <c r="A1" s="261" t="s">
        <v>115</v>
      </c>
      <c r="B1" s="261"/>
      <c r="C1" s="261"/>
      <c r="D1" s="261"/>
      <c r="E1" s="261"/>
      <c r="F1" s="261"/>
      <c r="R1" s="1" t="s">
        <v>144</v>
      </c>
    </row>
    <row r="2" spans="1:18" ht="17.25" customHeight="1" x14ac:dyDescent="0.4">
      <c r="A2" s="187"/>
      <c r="B2" s="187"/>
      <c r="C2" s="187"/>
      <c r="D2" s="187"/>
      <c r="E2" s="187"/>
      <c r="F2" s="187"/>
      <c r="R2" s="3" t="s">
        <v>0</v>
      </c>
    </row>
    <row r="3" spans="1:18" x14ac:dyDescent="0.4">
      <c r="A3" s="262" t="s">
        <v>1</v>
      </c>
      <c r="B3" s="262"/>
      <c r="C3" s="262"/>
      <c r="D3" s="262"/>
      <c r="E3" s="4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</row>
    <row r="4" spans="1:18" x14ac:dyDescent="0.4">
      <c r="A4" s="263" t="s">
        <v>16</v>
      </c>
      <c r="B4" s="264"/>
      <c r="C4" s="264"/>
      <c r="D4" s="264"/>
      <c r="E4" s="265"/>
      <c r="F4" s="6" t="s">
        <v>116</v>
      </c>
      <c r="G4" s="6" t="s">
        <v>117</v>
      </c>
      <c r="H4" s="6" t="s">
        <v>118</v>
      </c>
      <c r="I4" s="6"/>
      <c r="J4" s="6" t="s">
        <v>17</v>
      </c>
      <c r="K4" s="6" t="s">
        <v>119</v>
      </c>
      <c r="L4" s="6" t="s">
        <v>18</v>
      </c>
      <c r="M4" s="6" t="s">
        <v>18</v>
      </c>
      <c r="N4" s="6" t="s">
        <v>120</v>
      </c>
      <c r="O4" s="6"/>
      <c r="P4" s="6"/>
      <c r="Q4" s="6" t="s">
        <v>121</v>
      </c>
      <c r="R4" s="6"/>
    </row>
    <row r="5" spans="1:18" x14ac:dyDescent="0.4">
      <c r="A5" s="266" t="s">
        <v>1</v>
      </c>
      <c r="B5" s="254" t="s">
        <v>19</v>
      </c>
      <c r="C5" s="254" t="s">
        <v>20</v>
      </c>
      <c r="D5" s="188" t="s">
        <v>21</v>
      </c>
      <c r="E5" s="8" t="s">
        <v>22</v>
      </c>
      <c r="F5" s="9">
        <v>0</v>
      </c>
      <c r="G5" s="9">
        <v>0</v>
      </c>
      <c r="H5" s="9">
        <v>470000</v>
      </c>
      <c r="I5" s="9">
        <v>450000</v>
      </c>
      <c r="J5" s="10">
        <v>50000</v>
      </c>
      <c r="K5" s="9">
        <v>0</v>
      </c>
      <c r="L5" s="9">
        <v>0</v>
      </c>
      <c r="M5" s="10">
        <v>50000</v>
      </c>
      <c r="N5" s="10">
        <v>80000</v>
      </c>
      <c r="O5" s="9">
        <v>0</v>
      </c>
      <c r="P5" s="9">
        <v>0</v>
      </c>
      <c r="Q5" s="9">
        <v>0</v>
      </c>
      <c r="R5" s="11">
        <f>SUM(F5:Q5)</f>
        <v>1100000</v>
      </c>
    </row>
    <row r="6" spans="1:18" x14ac:dyDescent="0.4">
      <c r="A6" s="266"/>
      <c r="B6" s="255"/>
      <c r="C6" s="255"/>
      <c r="D6" s="195" t="s">
        <v>23</v>
      </c>
      <c r="E6" s="195" t="s">
        <v>24</v>
      </c>
      <c r="F6" s="9">
        <v>0</v>
      </c>
      <c r="G6" s="9">
        <v>300000</v>
      </c>
      <c r="H6" s="9">
        <v>330000</v>
      </c>
      <c r="I6" s="9">
        <v>350000</v>
      </c>
      <c r="J6" s="9">
        <v>250000</v>
      </c>
      <c r="K6" s="9">
        <v>0</v>
      </c>
      <c r="L6" s="9">
        <v>0</v>
      </c>
      <c r="M6" s="9">
        <v>150000</v>
      </c>
      <c r="N6" s="9">
        <v>220000</v>
      </c>
      <c r="O6" s="9"/>
      <c r="P6" s="9">
        <v>0</v>
      </c>
      <c r="Q6" s="9">
        <v>0</v>
      </c>
      <c r="R6" s="9">
        <f>SUM(F6:Q6)</f>
        <v>1600000</v>
      </c>
    </row>
    <row r="7" spans="1:18" x14ac:dyDescent="0.4">
      <c r="A7" s="266"/>
      <c r="B7" s="256" t="s">
        <v>25</v>
      </c>
      <c r="C7" s="257"/>
      <c r="D7" s="257"/>
      <c r="E7" s="258"/>
      <c r="F7" s="13">
        <f t="shared" ref="F7:G7" si="0">F6</f>
        <v>0</v>
      </c>
      <c r="G7" s="13">
        <f t="shared" si="0"/>
        <v>300000</v>
      </c>
      <c r="H7" s="13">
        <f t="shared" ref="H7:Q7" si="1">SUM(H5:H6)</f>
        <v>800000</v>
      </c>
      <c r="I7" s="13">
        <f t="shared" si="1"/>
        <v>800000</v>
      </c>
      <c r="J7" s="13">
        <f t="shared" si="1"/>
        <v>300000</v>
      </c>
      <c r="K7" s="13">
        <f t="shared" si="1"/>
        <v>0</v>
      </c>
      <c r="L7" s="13">
        <f t="shared" si="1"/>
        <v>0</v>
      </c>
      <c r="M7" s="13">
        <f t="shared" si="1"/>
        <v>200000</v>
      </c>
      <c r="N7" s="13">
        <f t="shared" si="1"/>
        <v>300000</v>
      </c>
      <c r="O7" s="13">
        <f t="shared" si="1"/>
        <v>0</v>
      </c>
      <c r="P7" s="13">
        <f t="shared" si="1"/>
        <v>0</v>
      </c>
      <c r="Q7" s="13">
        <f t="shared" si="1"/>
        <v>0</v>
      </c>
      <c r="R7" s="13">
        <f>SUM(F7:Q7)</f>
        <v>2700000</v>
      </c>
    </row>
    <row r="8" spans="1:18" x14ac:dyDescent="0.4">
      <c r="A8" s="266"/>
      <c r="B8" s="254" t="s">
        <v>26</v>
      </c>
      <c r="C8" s="268" t="s">
        <v>27</v>
      </c>
      <c r="D8" s="238" t="s">
        <v>28</v>
      </c>
      <c r="E8" s="195" t="s">
        <v>29</v>
      </c>
      <c r="F8" s="9">
        <v>0</v>
      </c>
      <c r="G8" s="9">
        <v>12000</v>
      </c>
      <c r="H8" s="9">
        <v>20000</v>
      </c>
      <c r="I8" s="9">
        <v>18000</v>
      </c>
      <c r="J8" s="9">
        <v>18000</v>
      </c>
      <c r="K8" s="9">
        <v>0</v>
      </c>
      <c r="L8" s="9">
        <v>0</v>
      </c>
      <c r="M8" s="9">
        <v>18000</v>
      </c>
      <c r="N8" s="9">
        <v>18000</v>
      </c>
      <c r="O8" s="9">
        <v>18000</v>
      </c>
      <c r="P8" s="9">
        <v>0</v>
      </c>
      <c r="Q8" s="9">
        <v>0</v>
      </c>
      <c r="R8" s="9">
        <f>SUM(F8:Q8)</f>
        <v>122000</v>
      </c>
    </row>
    <row r="9" spans="1:18" x14ac:dyDescent="0.4">
      <c r="A9" s="266"/>
      <c r="B9" s="254"/>
      <c r="C9" s="268"/>
      <c r="D9" s="242"/>
      <c r="E9" s="195" t="s">
        <v>124</v>
      </c>
      <c r="F9" s="9">
        <v>0</v>
      </c>
      <c r="G9" s="9">
        <v>6110</v>
      </c>
      <c r="H9" s="9">
        <v>15000</v>
      </c>
      <c r="I9" s="9">
        <v>10000</v>
      </c>
      <c r="J9" s="138">
        <v>15000</v>
      </c>
      <c r="K9" s="9">
        <v>0</v>
      </c>
      <c r="L9" s="9">
        <v>0</v>
      </c>
      <c r="M9" s="9">
        <v>10000</v>
      </c>
      <c r="N9" s="9">
        <v>10000</v>
      </c>
      <c r="O9" s="9">
        <v>10000</v>
      </c>
      <c r="P9" s="9">
        <v>0</v>
      </c>
      <c r="Q9" s="9">
        <v>0</v>
      </c>
      <c r="R9" s="9">
        <f t="shared" ref="R9:R20" si="2">SUM(F9:Q9)</f>
        <v>76110</v>
      </c>
    </row>
    <row r="10" spans="1:18" x14ac:dyDescent="0.4">
      <c r="A10" s="266"/>
      <c r="B10" s="254"/>
      <c r="C10" s="268"/>
      <c r="D10" s="239"/>
      <c r="E10" s="195" t="s">
        <v>30</v>
      </c>
      <c r="F10" s="9">
        <v>0</v>
      </c>
      <c r="G10" s="9">
        <v>10000</v>
      </c>
      <c r="H10" s="9">
        <v>8000</v>
      </c>
      <c r="I10" s="9">
        <v>0</v>
      </c>
      <c r="J10" s="138">
        <v>10000</v>
      </c>
      <c r="K10" s="9">
        <v>0</v>
      </c>
      <c r="L10" s="9">
        <v>0</v>
      </c>
      <c r="M10" s="9">
        <v>0</v>
      </c>
      <c r="N10" s="9">
        <v>15000</v>
      </c>
      <c r="O10" s="9">
        <v>0</v>
      </c>
      <c r="P10" s="9">
        <v>0</v>
      </c>
      <c r="Q10" s="9">
        <v>0</v>
      </c>
      <c r="R10" s="9">
        <f t="shared" si="2"/>
        <v>43000</v>
      </c>
    </row>
    <row r="11" spans="1:18" x14ac:dyDescent="0.4">
      <c r="A11" s="266"/>
      <c r="B11" s="254"/>
      <c r="C11" s="268"/>
      <c r="D11" s="195" t="s">
        <v>31</v>
      </c>
      <c r="E11" s="195" t="s">
        <v>32</v>
      </c>
      <c r="F11" s="9">
        <v>0</v>
      </c>
      <c r="G11" s="9">
        <v>7000</v>
      </c>
      <c r="H11" s="9">
        <v>10000</v>
      </c>
      <c r="I11" s="9">
        <v>10000</v>
      </c>
      <c r="J11" s="138">
        <v>8890</v>
      </c>
      <c r="K11" s="9">
        <v>0</v>
      </c>
      <c r="L11" s="9">
        <v>0</v>
      </c>
      <c r="M11" s="9">
        <v>10000</v>
      </c>
      <c r="N11" s="9">
        <v>10000</v>
      </c>
      <c r="O11" s="9">
        <v>10000</v>
      </c>
      <c r="P11" s="9">
        <v>0</v>
      </c>
      <c r="Q11" s="9">
        <v>0</v>
      </c>
      <c r="R11" s="9">
        <f t="shared" si="2"/>
        <v>65890</v>
      </c>
    </row>
    <row r="12" spans="1:18" x14ac:dyDescent="0.4">
      <c r="A12" s="266"/>
      <c r="B12" s="254"/>
      <c r="C12" s="268" t="s">
        <v>33</v>
      </c>
      <c r="D12" s="190" t="s">
        <v>34</v>
      </c>
      <c r="E12" s="195" t="s">
        <v>35</v>
      </c>
      <c r="F12" s="9">
        <v>0</v>
      </c>
      <c r="G12" s="9">
        <v>10000</v>
      </c>
      <c r="H12" s="15">
        <v>15000</v>
      </c>
      <c r="I12" s="15">
        <v>15000</v>
      </c>
      <c r="J12" s="15">
        <v>15000</v>
      </c>
      <c r="K12" s="9">
        <v>0</v>
      </c>
      <c r="L12" s="9">
        <v>0</v>
      </c>
      <c r="M12" s="15">
        <v>15000</v>
      </c>
      <c r="N12" s="15">
        <v>15000</v>
      </c>
      <c r="O12" s="15">
        <v>15000</v>
      </c>
      <c r="P12" s="9">
        <v>0</v>
      </c>
      <c r="Q12" s="9">
        <v>0</v>
      </c>
      <c r="R12" s="9">
        <f t="shared" si="2"/>
        <v>100000</v>
      </c>
    </row>
    <row r="13" spans="1:18" x14ac:dyDescent="0.4">
      <c r="A13" s="266"/>
      <c r="B13" s="254"/>
      <c r="C13" s="268"/>
      <c r="D13" s="195" t="s">
        <v>36</v>
      </c>
      <c r="E13" s="189" t="s">
        <v>125</v>
      </c>
      <c r="F13" s="9">
        <v>0</v>
      </c>
      <c r="G13" s="18">
        <v>3000</v>
      </c>
      <c r="H13" s="9">
        <v>5000</v>
      </c>
      <c r="I13" s="9">
        <v>5000</v>
      </c>
      <c r="J13" s="138">
        <v>8000</v>
      </c>
      <c r="K13" s="9">
        <v>0</v>
      </c>
      <c r="L13" s="9">
        <v>0</v>
      </c>
      <c r="M13" s="9">
        <v>5000</v>
      </c>
      <c r="N13" s="9">
        <v>5000</v>
      </c>
      <c r="O13" s="9">
        <v>5000</v>
      </c>
      <c r="P13" s="9">
        <v>0</v>
      </c>
      <c r="Q13" s="9">
        <v>0</v>
      </c>
      <c r="R13" s="9">
        <f t="shared" si="2"/>
        <v>36000</v>
      </c>
    </row>
    <row r="14" spans="1:18" x14ac:dyDescent="0.4">
      <c r="A14" s="266"/>
      <c r="B14" s="254"/>
      <c r="C14" s="268"/>
      <c r="D14" s="195" t="s">
        <v>36</v>
      </c>
      <c r="E14" s="189" t="s">
        <v>126</v>
      </c>
      <c r="F14" s="9">
        <v>0</v>
      </c>
      <c r="G14" s="18">
        <v>3000</v>
      </c>
      <c r="H14" s="9">
        <v>5000</v>
      </c>
      <c r="I14" s="9">
        <v>5400</v>
      </c>
      <c r="J14" s="9">
        <v>5000</v>
      </c>
      <c r="K14" s="9">
        <v>0</v>
      </c>
      <c r="L14" s="9">
        <v>0</v>
      </c>
      <c r="M14" s="9">
        <v>5000</v>
      </c>
      <c r="N14" s="9">
        <v>5000</v>
      </c>
      <c r="O14" s="9">
        <v>5000</v>
      </c>
      <c r="P14" s="9">
        <v>0</v>
      </c>
      <c r="Q14" s="9">
        <v>0</v>
      </c>
      <c r="R14" s="9">
        <f t="shared" si="2"/>
        <v>33400</v>
      </c>
    </row>
    <row r="15" spans="1:18" x14ac:dyDescent="0.4">
      <c r="A15" s="266"/>
      <c r="B15" s="254"/>
      <c r="C15" s="268"/>
      <c r="D15" s="191" t="s">
        <v>37</v>
      </c>
      <c r="E15" s="195" t="s">
        <v>38</v>
      </c>
      <c r="F15" s="9">
        <v>0</v>
      </c>
      <c r="G15" s="9">
        <v>3000</v>
      </c>
      <c r="H15" s="9">
        <v>3000</v>
      </c>
      <c r="I15" s="9">
        <v>0</v>
      </c>
      <c r="J15" s="138">
        <v>0</v>
      </c>
      <c r="K15" s="9">
        <v>0</v>
      </c>
      <c r="L15" s="9">
        <v>0</v>
      </c>
      <c r="M15" s="9">
        <v>3000</v>
      </c>
      <c r="N15" s="9">
        <v>3000</v>
      </c>
      <c r="O15" s="9"/>
      <c r="P15" s="9">
        <v>0</v>
      </c>
      <c r="Q15" s="9">
        <v>0</v>
      </c>
      <c r="R15" s="9">
        <f t="shared" si="2"/>
        <v>12000</v>
      </c>
    </row>
    <row r="16" spans="1:18" x14ac:dyDescent="0.4">
      <c r="A16" s="266"/>
      <c r="B16" s="254"/>
      <c r="C16" s="268"/>
      <c r="D16" s="195" t="s">
        <v>39</v>
      </c>
      <c r="E16" s="195" t="s">
        <v>127</v>
      </c>
      <c r="F16" s="9">
        <v>0</v>
      </c>
      <c r="G16" s="9">
        <v>0</v>
      </c>
      <c r="H16" s="9">
        <v>5000</v>
      </c>
      <c r="I16" s="9">
        <v>0</v>
      </c>
      <c r="J16" s="138">
        <v>0</v>
      </c>
      <c r="K16" s="9">
        <v>0</v>
      </c>
      <c r="L16" s="9">
        <v>0</v>
      </c>
      <c r="M16" s="9">
        <v>5000</v>
      </c>
      <c r="N16" s="9">
        <v>5000</v>
      </c>
      <c r="O16" s="9">
        <v>0</v>
      </c>
      <c r="P16" s="9">
        <v>0</v>
      </c>
      <c r="Q16" s="9">
        <v>0</v>
      </c>
      <c r="R16" s="9">
        <f t="shared" si="2"/>
        <v>15000</v>
      </c>
    </row>
    <row r="17" spans="1:18" x14ac:dyDescent="0.4">
      <c r="A17" s="266"/>
      <c r="B17" s="254"/>
      <c r="C17" s="253" t="s">
        <v>40</v>
      </c>
      <c r="D17" s="192" t="s">
        <v>34</v>
      </c>
      <c r="E17" s="195" t="s">
        <v>128</v>
      </c>
      <c r="F17" s="9">
        <v>0</v>
      </c>
      <c r="G17" s="9">
        <v>2473.3000000000002</v>
      </c>
      <c r="H17" s="9">
        <v>5476.6</v>
      </c>
      <c r="I17" s="9">
        <v>5300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f t="shared" si="2"/>
        <v>13249.900000000001</v>
      </c>
    </row>
    <row r="18" spans="1:18" x14ac:dyDescent="0.4">
      <c r="A18" s="266"/>
      <c r="B18" s="254"/>
      <c r="C18" s="254"/>
      <c r="D18" s="192" t="s">
        <v>34</v>
      </c>
      <c r="E18" s="195" t="s">
        <v>129</v>
      </c>
      <c r="F18" s="9">
        <v>0</v>
      </c>
      <c r="G18" s="9">
        <v>3686.6</v>
      </c>
      <c r="H18" s="9">
        <v>8163.3</v>
      </c>
      <c r="I18" s="9">
        <v>10500</v>
      </c>
      <c r="J18" s="138">
        <v>10850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f t="shared" si="2"/>
        <v>33199.9</v>
      </c>
    </row>
    <row r="19" spans="1:18" x14ac:dyDescent="0.4">
      <c r="A19" s="266"/>
      <c r="B19" s="254"/>
      <c r="C19" s="254"/>
      <c r="D19" s="192" t="s">
        <v>34</v>
      </c>
      <c r="E19" s="195" t="s">
        <v>41</v>
      </c>
      <c r="F19" s="9">
        <v>0</v>
      </c>
      <c r="G19" s="9">
        <v>0</v>
      </c>
      <c r="H19" s="9">
        <v>0</v>
      </c>
      <c r="I19" s="9">
        <v>0</v>
      </c>
      <c r="J19" s="138">
        <v>1030</v>
      </c>
      <c r="K19" s="138">
        <v>1000</v>
      </c>
      <c r="L19" s="9">
        <v>510</v>
      </c>
      <c r="M19" s="9">
        <v>510</v>
      </c>
      <c r="N19" s="9">
        <v>500</v>
      </c>
      <c r="O19" s="9">
        <v>510</v>
      </c>
      <c r="P19" s="9">
        <v>500</v>
      </c>
      <c r="Q19" s="9">
        <v>510</v>
      </c>
      <c r="R19" s="9">
        <f t="shared" si="2"/>
        <v>5070</v>
      </c>
    </row>
    <row r="20" spans="1:18" x14ac:dyDescent="0.4">
      <c r="A20" s="266"/>
      <c r="B20" s="254"/>
      <c r="C20" s="254"/>
      <c r="D20" s="192" t="s">
        <v>34</v>
      </c>
      <c r="E20" s="195" t="s">
        <v>130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138">
        <v>6000</v>
      </c>
      <c r="L20" s="9">
        <v>3720</v>
      </c>
      <c r="M20" s="9">
        <v>3720</v>
      </c>
      <c r="N20" s="9">
        <v>3600</v>
      </c>
      <c r="O20" s="9">
        <v>3720</v>
      </c>
      <c r="P20" s="9">
        <v>3600</v>
      </c>
      <c r="Q20" s="9">
        <v>3720</v>
      </c>
      <c r="R20" s="9">
        <f t="shared" si="2"/>
        <v>28080</v>
      </c>
    </row>
    <row r="21" spans="1:18" x14ac:dyDescent="0.4">
      <c r="A21" s="266"/>
      <c r="B21" s="256" t="s">
        <v>42</v>
      </c>
      <c r="C21" s="257"/>
      <c r="D21" s="257"/>
      <c r="E21" s="258"/>
      <c r="F21" s="13">
        <f t="shared" ref="F21:R21" si="3">SUM(F8:F20)</f>
        <v>0</v>
      </c>
      <c r="G21" s="13">
        <f t="shared" si="3"/>
        <v>60269.9</v>
      </c>
      <c r="H21" s="13">
        <f t="shared" si="3"/>
        <v>99639.900000000009</v>
      </c>
      <c r="I21" s="13">
        <f t="shared" si="3"/>
        <v>79200</v>
      </c>
      <c r="J21" s="13">
        <f>SUM(J8:J20)</f>
        <v>91770</v>
      </c>
      <c r="K21" s="13">
        <f t="shared" si="3"/>
        <v>7000</v>
      </c>
      <c r="L21" s="13">
        <f t="shared" si="3"/>
        <v>4230</v>
      </c>
      <c r="M21" s="13">
        <f t="shared" si="3"/>
        <v>75230</v>
      </c>
      <c r="N21" s="13">
        <f t="shared" si="3"/>
        <v>90100</v>
      </c>
      <c r="O21" s="13">
        <f t="shared" si="3"/>
        <v>67230</v>
      </c>
      <c r="P21" s="13">
        <f t="shared" si="3"/>
        <v>4100</v>
      </c>
      <c r="Q21" s="13">
        <f t="shared" si="3"/>
        <v>4230</v>
      </c>
      <c r="R21" s="13">
        <f t="shared" si="3"/>
        <v>582999.80000000005</v>
      </c>
    </row>
    <row r="22" spans="1:18" hidden="1" x14ac:dyDescent="0.4">
      <c r="A22" s="266"/>
      <c r="B22" s="194" t="s">
        <v>43</v>
      </c>
      <c r="C22" s="194" t="s">
        <v>20</v>
      </c>
      <c r="D22" s="193" t="s">
        <v>43</v>
      </c>
      <c r="E22" s="22" t="s">
        <v>44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" si="4">SUM(F22:Q22)</f>
        <v>0</v>
      </c>
    </row>
    <row r="23" spans="1:18" hidden="1" x14ac:dyDescent="0.4">
      <c r="A23" s="266"/>
      <c r="B23" s="256" t="s">
        <v>45</v>
      </c>
      <c r="C23" s="257"/>
      <c r="D23" s="257"/>
      <c r="E23" s="258"/>
      <c r="F23" s="13">
        <f t="shared" ref="F23:R23" si="5">SUM(F22:F22)</f>
        <v>0</v>
      </c>
      <c r="G23" s="13">
        <f t="shared" si="5"/>
        <v>0</v>
      </c>
      <c r="H23" s="13">
        <f t="shared" si="5"/>
        <v>0</v>
      </c>
      <c r="I23" s="13">
        <f t="shared" si="5"/>
        <v>0</v>
      </c>
      <c r="J23" s="13">
        <f t="shared" si="5"/>
        <v>0</v>
      </c>
      <c r="K23" s="13">
        <f t="shared" si="5"/>
        <v>0</v>
      </c>
      <c r="L23" s="13">
        <f t="shared" si="5"/>
        <v>0</v>
      </c>
      <c r="M23" s="13">
        <f t="shared" si="5"/>
        <v>0</v>
      </c>
      <c r="N23" s="13">
        <f t="shared" si="5"/>
        <v>0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</row>
    <row r="24" spans="1:18" x14ac:dyDescent="0.4">
      <c r="A24" s="266"/>
      <c r="B24" s="269" t="s">
        <v>46</v>
      </c>
      <c r="C24" s="253" t="s">
        <v>20</v>
      </c>
      <c r="D24" s="253" t="s">
        <v>47</v>
      </c>
      <c r="E24" s="135" t="s">
        <v>132</v>
      </c>
      <c r="F24" s="9">
        <v>0</v>
      </c>
      <c r="G24" s="9">
        <v>0</v>
      </c>
      <c r="H24" s="9">
        <v>27800</v>
      </c>
      <c r="I24" s="9">
        <v>30800</v>
      </c>
      <c r="J24" s="9">
        <v>30800</v>
      </c>
      <c r="K24" s="9">
        <v>0</v>
      </c>
      <c r="L24" s="9">
        <v>0</v>
      </c>
      <c r="M24" s="9">
        <v>32750</v>
      </c>
      <c r="N24" s="9">
        <v>32750</v>
      </c>
      <c r="O24" s="9">
        <v>0</v>
      </c>
      <c r="P24" s="9">
        <v>0</v>
      </c>
      <c r="Q24" s="9">
        <v>0</v>
      </c>
      <c r="R24" s="9">
        <f t="shared" ref="R24:R29" si="6">SUM(F24:Q24)</f>
        <v>154900</v>
      </c>
    </row>
    <row r="25" spans="1:18" x14ac:dyDescent="0.4">
      <c r="A25" s="266"/>
      <c r="B25" s="270"/>
      <c r="C25" s="254"/>
      <c r="D25" s="254"/>
      <c r="E25" s="135" t="s">
        <v>134</v>
      </c>
      <c r="F25" s="9"/>
      <c r="G25" s="9"/>
      <c r="H25" s="9">
        <v>4600</v>
      </c>
      <c r="I25" s="9">
        <v>4600</v>
      </c>
      <c r="J25" s="9">
        <v>4600</v>
      </c>
      <c r="K25" s="9">
        <v>4600</v>
      </c>
      <c r="L25" s="9">
        <v>4600</v>
      </c>
      <c r="M25" s="9">
        <v>4600</v>
      </c>
      <c r="N25" s="9">
        <v>4600</v>
      </c>
      <c r="O25" s="9">
        <v>4600</v>
      </c>
      <c r="P25" s="9"/>
      <c r="Q25" s="9"/>
      <c r="R25" s="9">
        <f t="shared" si="6"/>
        <v>36800</v>
      </c>
    </row>
    <row r="26" spans="1:18" x14ac:dyDescent="0.4">
      <c r="A26" s="266"/>
      <c r="B26" s="270"/>
      <c r="C26" s="254"/>
      <c r="D26" s="254"/>
      <c r="E26" s="135" t="s">
        <v>133</v>
      </c>
      <c r="F26" s="9"/>
      <c r="G26" s="9"/>
      <c r="H26" s="9">
        <v>18000</v>
      </c>
      <c r="I26" s="9">
        <v>18000</v>
      </c>
      <c r="J26" s="9">
        <v>18000</v>
      </c>
      <c r="K26" s="9"/>
      <c r="L26" s="9"/>
      <c r="M26" s="9">
        <v>18000</v>
      </c>
      <c r="N26" s="9">
        <v>18000</v>
      </c>
      <c r="O26" s="9"/>
      <c r="P26" s="9"/>
      <c r="Q26" s="9"/>
      <c r="R26" s="9">
        <f t="shared" si="6"/>
        <v>90000</v>
      </c>
    </row>
    <row r="27" spans="1:18" x14ac:dyDescent="0.4">
      <c r="A27" s="266"/>
      <c r="B27" s="270"/>
      <c r="C27" s="255"/>
      <c r="D27" s="255"/>
      <c r="E27" s="22" t="s">
        <v>131</v>
      </c>
      <c r="F27" s="9"/>
      <c r="G27" s="9"/>
      <c r="H27" s="9">
        <v>0</v>
      </c>
      <c r="I27" s="9">
        <v>91100</v>
      </c>
      <c r="J27" s="9"/>
      <c r="K27" s="9"/>
      <c r="L27" s="9"/>
      <c r="M27" s="9"/>
      <c r="N27" s="9"/>
      <c r="O27" s="9"/>
      <c r="P27" s="9"/>
      <c r="Q27" s="9"/>
      <c r="R27" s="9">
        <f t="shared" si="6"/>
        <v>91100</v>
      </c>
    </row>
    <row r="28" spans="1:18" hidden="1" x14ac:dyDescent="0.4">
      <c r="A28" s="266"/>
      <c r="B28" s="270"/>
      <c r="C28" s="253" t="s">
        <v>48</v>
      </c>
      <c r="D28" s="253" t="s">
        <v>48</v>
      </c>
      <c r="E28" s="22" t="s">
        <v>135</v>
      </c>
      <c r="F28" s="9">
        <v>0</v>
      </c>
      <c r="G28" s="9">
        <v>0</v>
      </c>
      <c r="H28" s="138"/>
      <c r="I28" s="9"/>
      <c r="J28" s="9"/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f t="shared" si="6"/>
        <v>0</v>
      </c>
    </row>
    <row r="29" spans="1:18" x14ac:dyDescent="0.4">
      <c r="A29" s="266"/>
      <c r="B29" s="270"/>
      <c r="C29" s="255"/>
      <c r="D29" s="255"/>
      <c r="E29" s="22" t="s">
        <v>138</v>
      </c>
      <c r="F29" s="9">
        <v>0</v>
      </c>
      <c r="G29" s="9">
        <v>0</v>
      </c>
      <c r="H29" s="9">
        <v>85000</v>
      </c>
      <c r="I29" s="9"/>
      <c r="J29" s="9"/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f t="shared" si="6"/>
        <v>85000</v>
      </c>
    </row>
    <row r="30" spans="1:18" x14ac:dyDescent="0.4">
      <c r="A30" s="266"/>
      <c r="B30" s="256" t="s">
        <v>49</v>
      </c>
      <c r="C30" s="257"/>
      <c r="D30" s="257"/>
      <c r="E30" s="258"/>
      <c r="F30" s="13">
        <f>SUM(F24:F29)</f>
        <v>0</v>
      </c>
      <c r="G30" s="13">
        <f>SUM(G24:G29)</f>
        <v>0</v>
      </c>
      <c r="H30" s="13">
        <f t="shared" ref="H30:Q30" si="7">SUM(H24:H29)</f>
        <v>135400</v>
      </c>
      <c r="I30" s="13">
        <f t="shared" si="7"/>
        <v>144500</v>
      </c>
      <c r="J30" s="13">
        <f t="shared" si="7"/>
        <v>53400</v>
      </c>
      <c r="K30" s="13">
        <f t="shared" si="7"/>
        <v>4600</v>
      </c>
      <c r="L30" s="13">
        <f t="shared" si="7"/>
        <v>4600</v>
      </c>
      <c r="M30" s="13">
        <f t="shared" si="7"/>
        <v>55350</v>
      </c>
      <c r="N30" s="13">
        <f t="shared" si="7"/>
        <v>55350</v>
      </c>
      <c r="O30" s="13">
        <f t="shared" si="7"/>
        <v>4600</v>
      </c>
      <c r="P30" s="13">
        <f t="shared" si="7"/>
        <v>0</v>
      </c>
      <c r="Q30" s="13">
        <f t="shared" si="7"/>
        <v>0</v>
      </c>
      <c r="R30" s="13">
        <f>SUM(R24:R29)</f>
        <v>457800</v>
      </c>
    </row>
    <row r="31" spans="1:18" hidden="1" x14ac:dyDescent="0.4">
      <c r="A31" s="266"/>
      <c r="B31" s="194" t="s">
        <v>50</v>
      </c>
      <c r="C31" s="193" t="s">
        <v>20</v>
      </c>
      <c r="D31" s="193" t="s">
        <v>51</v>
      </c>
      <c r="E31" s="22" t="s">
        <v>52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/>
      <c r="O31" s="9">
        <v>0</v>
      </c>
      <c r="P31" s="9">
        <v>0</v>
      </c>
      <c r="Q31" s="9">
        <v>0</v>
      </c>
      <c r="R31" s="9">
        <f>J31</f>
        <v>0</v>
      </c>
    </row>
    <row r="32" spans="1:18" hidden="1" x14ac:dyDescent="0.4">
      <c r="A32" s="267"/>
      <c r="B32" s="256" t="s">
        <v>53</v>
      </c>
      <c r="C32" s="257"/>
      <c r="D32" s="257"/>
      <c r="E32" s="258"/>
      <c r="F32" s="13">
        <f t="shared" ref="F32:R32" si="8">SUM(F31:F31)</f>
        <v>0</v>
      </c>
      <c r="G32" s="13">
        <f t="shared" si="8"/>
        <v>0</v>
      </c>
      <c r="H32" s="13">
        <f t="shared" si="8"/>
        <v>0</v>
      </c>
      <c r="I32" s="13">
        <f t="shared" si="8"/>
        <v>0</v>
      </c>
      <c r="J32" s="13">
        <f t="shared" si="8"/>
        <v>0</v>
      </c>
      <c r="K32" s="13">
        <f t="shared" si="8"/>
        <v>0</v>
      </c>
      <c r="L32" s="13">
        <f t="shared" si="8"/>
        <v>0</v>
      </c>
      <c r="M32" s="13">
        <f t="shared" si="8"/>
        <v>0</v>
      </c>
      <c r="N32" s="13">
        <f t="shared" si="8"/>
        <v>0</v>
      </c>
      <c r="O32" s="13">
        <f t="shared" si="8"/>
        <v>0</v>
      </c>
      <c r="P32" s="13">
        <f t="shared" si="8"/>
        <v>0</v>
      </c>
      <c r="Q32" s="13">
        <f t="shared" si="8"/>
        <v>0</v>
      </c>
      <c r="R32" s="13">
        <f t="shared" si="8"/>
        <v>0</v>
      </c>
    </row>
    <row r="33" spans="1:18" x14ac:dyDescent="0.4">
      <c r="A33" s="259" t="s">
        <v>54</v>
      </c>
      <c r="B33" s="259"/>
      <c r="C33" s="259"/>
      <c r="D33" s="259"/>
      <c r="E33" s="259"/>
      <c r="F33" s="23">
        <f>F7+F21</f>
        <v>0</v>
      </c>
      <c r="G33" s="23">
        <f>G7+G21</f>
        <v>360269.9</v>
      </c>
      <c r="H33" s="23">
        <f>H7+H21+H30+H32</f>
        <v>1035039.9</v>
      </c>
      <c r="I33" s="23">
        <f>I7+I21+I23+I30+I32</f>
        <v>1023700</v>
      </c>
      <c r="J33" s="23">
        <f>J7+J21+J23+J30+J32</f>
        <v>445170</v>
      </c>
      <c r="K33" s="23">
        <f>K7+K21+K30+K32</f>
        <v>11600</v>
      </c>
      <c r="L33" s="23">
        <f>L7+L21+L30+L32</f>
        <v>8830</v>
      </c>
      <c r="M33" s="23">
        <f>M7+M21+M30+M32</f>
        <v>330580</v>
      </c>
      <c r="N33" s="23">
        <f>N7+N21+N30+N32</f>
        <v>445450</v>
      </c>
      <c r="O33" s="23">
        <f>O7+O21+O32</f>
        <v>67230</v>
      </c>
      <c r="P33" s="23">
        <f>P7+P21+P32</f>
        <v>4100</v>
      </c>
      <c r="Q33" s="23">
        <f>Q7+Q21+Q32</f>
        <v>4230</v>
      </c>
      <c r="R33" s="23">
        <f>R7+R21+R23+R30+R32</f>
        <v>3740799.8</v>
      </c>
    </row>
    <row r="34" spans="1:18" hidden="1" x14ac:dyDescent="0.4">
      <c r="A34" s="236" t="s">
        <v>55</v>
      </c>
      <c r="B34" s="238" t="s">
        <v>19</v>
      </c>
      <c r="C34" s="240" t="s">
        <v>55</v>
      </c>
      <c r="D34" s="238" t="s">
        <v>56</v>
      </c>
      <c r="E34" s="195" t="s">
        <v>57</v>
      </c>
      <c r="F34" s="9">
        <v>0</v>
      </c>
      <c r="G34" s="9"/>
      <c r="H34" s="9"/>
      <c r="I34" s="9">
        <v>0</v>
      </c>
      <c r="J34" s="9">
        <v>0</v>
      </c>
      <c r="K34" s="9">
        <v>0</v>
      </c>
      <c r="L34" s="9">
        <v>0</v>
      </c>
      <c r="M34" s="10">
        <v>0</v>
      </c>
      <c r="N34" s="9">
        <v>0</v>
      </c>
      <c r="O34" s="9">
        <v>0</v>
      </c>
      <c r="P34" s="9">
        <v>0</v>
      </c>
      <c r="Q34" s="9"/>
      <c r="R34" s="9">
        <f t="shared" ref="R34:R37" si="9">SUM(F34:Q34)</f>
        <v>0</v>
      </c>
    </row>
    <row r="35" spans="1:18" hidden="1" x14ac:dyDescent="0.4">
      <c r="A35" s="237"/>
      <c r="B35" s="242"/>
      <c r="C35" s="241"/>
      <c r="D35" s="239"/>
      <c r="E35" s="195" t="s">
        <v>58</v>
      </c>
      <c r="F35" s="9"/>
      <c r="G35" s="9"/>
      <c r="H35" s="9"/>
      <c r="I35" s="9"/>
      <c r="J35" s="9"/>
      <c r="K35" s="9"/>
      <c r="L35" s="9"/>
      <c r="M35" s="10"/>
      <c r="N35" s="9"/>
      <c r="O35" s="9"/>
      <c r="P35" s="9"/>
      <c r="Q35" s="9"/>
      <c r="R35" s="9">
        <f t="shared" si="9"/>
        <v>0</v>
      </c>
    </row>
    <row r="36" spans="1:18" x14ac:dyDescent="0.4">
      <c r="A36" s="237"/>
      <c r="B36" s="239"/>
      <c r="C36" s="241"/>
      <c r="D36" s="192" t="s">
        <v>55</v>
      </c>
      <c r="E36" s="195" t="s">
        <v>59</v>
      </c>
      <c r="F36" s="9">
        <v>0</v>
      </c>
      <c r="G36" s="9">
        <v>0</v>
      </c>
      <c r="H36" s="9">
        <f>15000*1.1765</f>
        <v>17647.5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f>SUM(F36:Q36)</f>
        <v>17647.5</v>
      </c>
    </row>
    <row r="37" spans="1:18" ht="17.399999999999999" hidden="1" customHeight="1" x14ac:dyDescent="0.4">
      <c r="A37" s="237"/>
      <c r="B37" s="238" t="s">
        <v>26</v>
      </c>
      <c r="C37" s="242"/>
      <c r="D37" s="238" t="s">
        <v>60</v>
      </c>
      <c r="E37" s="25" t="s">
        <v>61</v>
      </c>
      <c r="F37" s="9">
        <v>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>
        <f t="shared" si="9"/>
        <v>0</v>
      </c>
    </row>
    <row r="38" spans="1:18" x14ac:dyDescent="0.4">
      <c r="A38" s="237"/>
      <c r="B38" s="242"/>
      <c r="C38" s="242"/>
      <c r="D38" s="242"/>
      <c r="E38" s="25" t="s">
        <v>62</v>
      </c>
      <c r="F38" s="9">
        <v>0</v>
      </c>
      <c r="G38" s="9">
        <f>14110*1.1765</f>
        <v>16600.415000000001</v>
      </c>
      <c r="H38" s="9"/>
      <c r="I38" s="9"/>
      <c r="J38" s="9"/>
      <c r="K38" s="9"/>
      <c r="L38" s="9">
        <v>0</v>
      </c>
      <c r="M38" s="9">
        <v>0</v>
      </c>
      <c r="N38" s="9">
        <f>5215*1.1765+1</f>
        <v>6136.4475000000002</v>
      </c>
      <c r="O38" s="9">
        <f>20000*1.1765</f>
        <v>23530.000000000004</v>
      </c>
      <c r="P38" s="9">
        <v>0</v>
      </c>
      <c r="Q38" s="9">
        <v>0</v>
      </c>
      <c r="R38" s="9">
        <f>SUM(F38:Q38)</f>
        <v>46266.862500000003</v>
      </c>
    </row>
    <row r="39" spans="1:18" x14ac:dyDescent="0.4">
      <c r="A39" s="237"/>
      <c r="B39" s="242"/>
      <c r="C39" s="242"/>
      <c r="D39" s="239"/>
      <c r="E39" s="25" t="s">
        <v>122</v>
      </c>
      <c r="F39" s="9"/>
      <c r="G39" s="9"/>
      <c r="H39" s="9"/>
      <c r="I39" s="9"/>
      <c r="J39" s="9"/>
      <c r="K39" s="9"/>
      <c r="L39" s="9"/>
      <c r="M39" s="9">
        <f>40000*1.1765</f>
        <v>47060.000000000007</v>
      </c>
      <c r="N39" s="9"/>
      <c r="O39" s="9"/>
      <c r="P39" s="9"/>
      <c r="Q39" s="9">
        <v>0</v>
      </c>
      <c r="R39" s="9">
        <f t="shared" ref="R39:R52" si="10">SUM(F39:Q39)</f>
        <v>47060.000000000007</v>
      </c>
    </row>
    <row r="40" spans="1:18" ht="17.399999999999999" hidden="1" customHeight="1" x14ac:dyDescent="0.4">
      <c r="A40" s="237"/>
      <c r="B40" s="242"/>
      <c r="C40" s="242"/>
      <c r="D40" s="195" t="s">
        <v>63</v>
      </c>
      <c r="E40" s="25" t="s">
        <v>64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>
        <v>0</v>
      </c>
      <c r="R40" s="9">
        <f t="shared" si="10"/>
        <v>0</v>
      </c>
    </row>
    <row r="41" spans="1:18" ht="17.399999999999999" hidden="1" customHeight="1" x14ac:dyDescent="0.4">
      <c r="A41" s="237"/>
      <c r="B41" s="242"/>
      <c r="C41" s="242"/>
      <c r="D41" s="195" t="s">
        <v>65</v>
      </c>
      <c r="E41" s="25" t="s">
        <v>66</v>
      </c>
      <c r="F41" s="9"/>
      <c r="G41" s="9"/>
      <c r="H41" s="9"/>
      <c r="I41" s="9"/>
      <c r="J41" s="9"/>
      <c r="K41" s="9"/>
      <c r="L41" s="9"/>
      <c r="M41" s="9"/>
      <c r="N41" s="9"/>
      <c r="O41" s="26"/>
      <c r="P41" s="9"/>
      <c r="Q41" s="9">
        <v>0</v>
      </c>
      <c r="R41" s="9">
        <f t="shared" si="10"/>
        <v>0</v>
      </c>
    </row>
    <row r="42" spans="1:18" x14ac:dyDescent="0.4">
      <c r="A42" s="237"/>
      <c r="B42" s="242"/>
      <c r="C42" s="242"/>
      <c r="D42" s="195" t="s">
        <v>65</v>
      </c>
      <c r="E42" s="25" t="s">
        <v>67</v>
      </c>
      <c r="F42" s="9">
        <v>0</v>
      </c>
      <c r="G42" s="9">
        <f>1550*1.1765</f>
        <v>1823.575</v>
      </c>
      <c r="H42" s="9"/>
      <c r="I42" s="9"/>
      <c r="J42" s="138">
        <v>2823.6</v>
      </c>
      <c r="K42" s="9"/>
      <c r="L42" s="9"/>
      <c r="M42" s="9">
        <v>0</v>
      </c>
      <c r="N42" s="9">
        <f>5000*1.1765</f>
        <v>5882.5000000000009</v>
      </c>
      <c r="O42" s="9">
        <v>0</v>
      </c>
      <c r="P42" s="9">
        <v>0</v>
      </c>
      <c r="Q42" s="9">
        <v>0</v>
      </c>
      <c r="R42" s="9">
        <f t="shared" si="10"/>
        <v>10529.675000000001</v>
      </c>
    </row>
    <row r="43" spans="1:18" x14ac:dyDescent="0.4">
      <c r="A43" s="237"/>
      <c r="B43" s="242"/>
      <c r="C43" s="242"/>
      <c r="D43" s="238" t="s">
        <v>55</v>
      </c>
      <c r="E43" s="25" t="s">
        <v>137</v>
      </c>
      <c r="F43" s="9">
        <v>0</v>
      </c>
      <c r="G43" s="9">
        <v>0</v>
      </c>
      <c r="H43" s="9">
        <f>47000*1.1765</f>
        <v>55295.500000000007</v>
      </c>
      <c r="I43" s="9"/>
      <c r="J43" s="9"/>
      <c r="K43" s="9"/>
      <c r="L43" s="9"/>
      <c r="M43" s="9"/>
      <c r="N43" s="9"/>
      <c r="O43" s="9">
        <v>0</v>
      </c>
      <c r="P43" s="9">
        <v>0</v>
      </c>
      <c r="Q43" s="9">
        <v>0</v>
      </c>
      <c r="R43" s="9">
        <f t="shared" si="10"/>
        <v>55295.500000000007</v>
      </c>
    </row>
    <row r="44" spans="1:18" hidden="1" x14ac:dyDescent="0.4">
      <c r="A44" s="237"/>
      <c r="B44" s="242"/>
      <c r="C44" s="242"/>
      <c r="D44" s="239"/>
      <c r="E44" s="25" t="s">
        <v>122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>
        <f t="shared" si="10"/>
        <v>0</v>
      </c>
    </row>
    <row r="45" spans="1:18" x14ac:dyDescent="0.4">
      <c r="A45" s="237"/>
      <c r="B45" s="239"/>
      <c r="C45" s="242"/>
      <c r="D45" s="195" t="s">
        <v>68</v>
      </c>
      <c r="E45" s="25" t="s">
        <v>69</v>
      </c>
      <c r="F45" s="9">
        <v>0</v>
      </c>
      <c r="G45" s="169">
        <v>1172</v>
      </c>
      <c r="H45" s="9">
        <f>(2000*1.1765)+220</f>
        <v>2573</v>
      </c>
      <c r="I45" s="9">
        <v>0</v>
      </c>
      <c r="J45" s="9"/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f t="shared" si="10"/>
        <v>3745</v>
      </c>
    </row>
    <row r="46" spans="1:18" hidden="1" x14ac:dyDescent="0.4">
      <c r="A46" s="237"/>
      <c r="B46" s="191" t="s">
        <v>43</v>
      </c>
      <c r="C46" s="242"/>
      <c r="D46" s="195" t="s">
        <v>65</v>
      </c>
      <c r="E46" s="25" t="s">
        <v>70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>
        <v>0</v>
      </c>
      <c r="R46" s="9">
        <f t="shared" si="10"/>
        <v>0</v>
      </c>
    </row>
    <row r="47" spans="1:18" x14ac:dyDescent="0.4">
      <c r="A47" s="237"/>
      <c r="B47" s="238" t="s">
        <v>71</v>
      </c>
      <c r="C47" s="242"/>
      <c r="D47" s="195" t="s">
        <v>65</v>
      </c>
      <c r="E47" s="25" t="s">
        <v>142</v>
      </c>
      <c r="F47" s="9">
        <v>0</v>
      </c>
      <c r="G47" s="9">
        <f>1800*1.1765</f>
        <v>2117.7000000000003</v>
      </c>
      <c r="H47" s="9">
        <v>0</v>
      </c>
      <c r="I47" s="9"/>
      <c r="J47" s="9"/>
      <c r="K47" s="138">
        <v>1079</v>
      </c>
      <c r="L47" s="9"/>
      <c r="M47" s="9"/>
      <c r="N47" s="9">
        <f>3000*1.1765</f>
        <v>3529.5000000000005</v>
      </c>
      <c r="O47" s="9">
        <f>6590*1.1765-3</f>
        <v>7750.1350000000002</v>
      </c>
      <c r="P47" s="9">
        <v>0</v>
      </c>
      <c r="Q47" s="9">
        <v>0</v>
      </c>
      <c r="R47" s="9">
        <f t="shared" si="10"/>
        <v>14476.335000000001</v>
      </c>
    </row>
    <row r="48" spans="1:18" x14ac:dyDescent="0.4">
      <c r="A48" s="237"/>
      <c r="B48" s="239"/>
      <c r="C48" s="242"/>
      <c r="D48" s="195" t="s">
        <v>141</v>
      </c>
      <c r="E48" s="25" t="s">
        <v>143</v>
      </c>
      <c r="F48" s="9">
        <v>0</v>
      </c>
      <c r="G48" s="9"/>
      <c r="H48" s="9">
        <v>5360</v>
      </c>
      <c r="I48" s="9">
        <v>8400</v>
      </c>
      <c r="J48" s="9"/>
      <c r="K48" s="9"/>
      <c r="L48" s="9"/>
      <c r="M48" s="9">
        <f>5000</f>
        <v>5000</v>
      </c>
      <c r="N48" s="9"/>
      <c r="O48" s="9"/>
      <c r="P48" s="9">
        <v>0</v>
      </c>
      <c r="Q48" s="9">
        <v>0</v>
      </c>
      <c r="R48" s="9">
        <f>SUM(F48:Q48)</f>
        <v>18760</v>
      </c>
    </row>
    <row r="49" spans="1:18" x14ac:dyDescent="0.4">
      <c r="A49" s="237"/>
      <c r="B49" s="238" t="s">
        <v>72</v>
      </c>
      <c r="C49" s="242"/>
      <c r="D49" s="27" t="s">
        <v>73</v>
      </c>
      <c r="E49" s="195" t="s">
        <v>74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9">
        <v>0</v>
      </c>
      <c r="Q49" s="15">
        <f>24000*1.1765</f>
        <v>28236.000000000004</v>
      </c>
      <c r="R49" s="9">
        <f t="shared" si="10"/>
        <v>28236.000000000004</v>
      </c>
    </row>
    <row r="50" spans="1:18" x14ac:dyDescent="0.4">
      <c r="A50" s="237"/>
      <c r="B50" s="242"/>
      <c r="C50" s="242"/>
      <c r="D50" s="240" t="s">
        <v>75</v>
      </c>
      <c r="E50" s="195" t="s">
        <v>136</v>
      </c>
      <c r="F50" s="9">
        <v>0</v>
      </c>
      <c r="G50" s="9">
        <v>0</v>
      </c>
      <c r="H50" s="9">
        <v>6420</v>
      </c>
      <c r="I50" s="9">
        <v>0</v>
      </c>
      <c r="J50" s="138">
        <v>1980</v>
      </c>
      <c r="K50" s="15">
        <v>0</v>
      </c>
      <c r="L50" s="15">
        <v>0</v>
      </c>
      <c r="M50" s="15">
        <v>0</v>
      </c>
      <c r="N50" s="15">
        <v>0</v>
      </c>
      <c r="O50" s="9">
        <v>0</v>
      </c>
      <c r="P50" s="9">
        <f>80*60</f>
        <v>4800</v>
      </c>
      <c r="Q50" s="9">
        <f>60*60</f>
        <v>3600</v>
      </c>
      <c r="R50" s="9">
        <f t="shared" si="10"/>
        <v>16800</v>
      </c>
    </row>
    <row r="51" spans="1:18" x14ac:dyDescent="0.4">
      <c r="A51" s="237"/>
      <c r="B51" s="242"/>
      <c r="C51" s="242"/>
      <c r="D51" s="241"/>
      <c r="E51" s="195" t="s">
        <v>76</v>
      </c>
      <c r="F51" s="9">
        <v>0</v>
      </c>
      <c r="G51" s="9">
        <v>360</v>
      </c>
      <c r="H51" s="9">
        <v>0</v>
      </c>
      <c r="I51" s="9">
        <v>0</v>
      </c>
      <c r="J51" s="9">
        <v>0</v>
      </c>
      <c r="K51" s="15">
        <v>0</v>
      </c>
      <c r="L51" s="15"/>
      <c r="M51" s="15">
        <v>0</v>
      </c>
      <c r="N51" s="15">
        <v>0</v>
      </c>
      <c r="O51" s="9">
        <v>0</v>
      </c>
      <c r="P51" s="9">
        <v>0</v>
      </c>
      <c r="Q51" s="9">
        <v>0</v>
      </c>
      <c r="R51" s="9">
        <f t="shared" si="10"/>
        <v>360</v>
      </c>
    </row>
    <row r="52" spans="1:18" hidden="1" x14ac:dyDescent="0.4">
      <c r="A52" s="260"/>
      <c r="B52" s="239"/>
      <c r="C52" s="239"/>
      <c r="D52" s="244"/>
      <c r="E52" s="195" t="s">
        <v>77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15">
        <v>0</v>
      </c>
      <c r="L52" s="15"/>
      <c r="M52" s="15">
        <v>0</v>
      </c>
      <c r="N52" s="15">
        <v>0</v>
      </c>
      <c r="O52" s="9">
        <v>0</v>
      </c>
      <c r="P52" s="9">
        <v>0</v>
      </c>
      <c r="Q52" s="9">
        <v>0</v>
      </c>
      <c r="R52" s="9">
        <f t="shared" si="10"/>
        <v>0</v>
      </c>
    </row>
    <row r="53" spans="1:18" x14ac:dyDescent="0.4">
      <c r="A53" s="245" t="s">
        <v>78</v>
      </c>
      <c r="B53" s="245"/>
      <c r="C53" s="245"/>
      <c r="D53" s="245"/>
      <c r="E53" s="245"/>
      <c r="F53" s="28">
        <f>SUM(F34:F49)</f>
        <v>0</v>
      </c>
      <c r="G53" s="28">
        <f t="shared" ref="G53:R53" si="11">SUM(G34:G52)</f>
        <v>22073.690000000002</v>
      </c>
      <c r="H53" s="28">
        <f t="shared" si="11"/>
        <v>87296</v>
      </c>
      <c r="I53" s="28">
        <f t="shared" si="11"/>
        <v>8400</v>
      </c>
      <c r="J53" s="28">
        <f t="shared" si="11"/>
        <v>4803.6000000000004</v>
      </c>
      <c r="K53" s="28">
        <f t="shared" si="11"/>
        <v>1079</v>
      </c>
      <c r="L53" s="28">
        <f t="shared" si="11"/>
        <v>0</v>
      </c>
      <c r="M53" s="28">
        <f t="shared" si="11"/>
        <v>52060.000000000007</v>
      </c>
      <c r="N53" s="29">
        <f t="shared" si="11"/>
        <v>15548.447500000002</v>
      </c>
      <c r="O53" s="28">
        <f t="shared" si="11"/>
        <v>31280.135000000002</v>
      </c>
      <c r="P53" s="28">
        <f t="shared" si="11"/>
        <v>4800</v>
      </c>
      <c r="Q53" s="28">
        <f t="shared" si="11"/>
        <v>31836.000000000004</v>
      </c>
      <c r="R53" s="30">
        <f t="shared" si="11"/>
        <v>259176.87250000003</v>
      </c>
    </row>
    <row r="54" spans="1:18" x14ac:dyDescent="0.4">
      <c r="A54" s="246" t="s">
        <v>79</v>
      </c>
      <c r="B54" s="246"/>
      <c r="C54" s="246"/>
      <c r="D54" s="246"/>
      <c r="E54" s="246"/>
      <c r="F54" s="31">
        <f>SUM(F33,F53)</f>
        <v>0</v>
      </c>
      <c r="G54" s="31">
        <f t="shared" ref="G54:O54" si="12">G33+G53</f>
        <v>382343.59</v>
      </c>
      <c r="H54" s="31">
        <f t="shared" si="12"/>
        <v>1122335.8999999999</v>
      </c>
      <c r="I54" s="31">
        <f t="shared" si="12"/>
        <v>1032100</v>
      </c>
      <c r="J54" s="31">
        <f t="shared" si="12"/>
        <v>449973.6</v>
      </c>
      <c r="K54" s="31">
        <f t="shared" si="12"/>
        <v>12679</v>
      </c>
      <c r="L54" s="31">
        <f t="shared" si="12"/>
        <v>8830</v>
      </c>
      <c r="M54" s="31">
        <f t="shared" si="12"/>
        <v>382640</v>
      </c>
      <c r="N54" s="31">
        <f t="shared" si="12"/>
        <v>460998.44750000001</v>
      </c>
      <c r="O54" s="31">
        <f t="shared" si="12"/>
        <v>98510.135000000009</v>
      </c>
      <c r="P54" s="31">
        <f>SUM(P33,P53)</f>
        <v>8900</v>
      </c>
      <c r="Q54" s="31">
        <f>SUM(Q33,Q53)</f>
        <v>36066</v>
      </c>
      <c r="R54" s="31">
        <f>R33+R53</f>
        <v>3999976.6724999999</v>
      </c>
    </row>
    <row r="55" spans="1:18" x14ac:dyDescent="0.4">
      <c r="A55" s="234" t="s">
        <v>80</v>
      </c>
      <c r="B55" s="234"/>
      <c r="C55" s="234"/>
      <c r="D55" s="234"/>
      <c r="E55" s="234"/>
      <c r="F55" s="32">
        <f>F33+F53</f>
        <v>0</v>
      </c>
      <c r="G55" s="32">
        <f>G33+G53</f>
        <v>382343.59</v>
      </c>
      <c r="H55" s="32">
        <f>SUM(H54:H54)</f>
        <v>1122335.8999999999</v>
      </c>
      <c r="I55" s="32">
        <f>SUM(I54:I54)</f>
        <v>1032100</v>
      </c>
      <c r="J55" s="32">
        <f t="shared" ref="J55:Q55" si="13">SUM(J54:J54)</f>
        <v>449973.6</v>
      </c>
      <c r="K55" s="32">
        <f t="shared" si="13"/>
        <v>12679</v>
      </c>
      <c r="L55" s="32">
        <f t="shared" si="13"/>
        <v>8830</v>
      </c>
      <c r="M55" s="32">
        <f t="shared" si="13"/>
        <v>382640</v>
      </c>
      <c r="N55" s="32">
        <f t="shared" si="13"/>
        <v>460998.44750000001</v>
      </c>
      <c r="O55" s="32">
        <f t="shared" si="13"/>
        <v>98510.135000000009</v>
      </c>
      <c r="P55" s="32">
        <f t="shared" si="13"/>
        <v>8900</v>
      </c>
      <c r="Q55" s="32">
        <f t="shared" si="13"/>
        <v>36066</v>
      </c>
      <c r="R55" s="32">
        <f>R33+R53</f>
        <v>3999976.6724999999</v>
      </c>
    </row>
    <row r="56" spans="1:18" ht="69" customHeight="1" x14ac:dyDescent="0.4">
      <c r="A56" s="235" t="s">
        <v>81</v>
      </c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</row>
    <row r="57" spans="1:18" x14ac:dyDescent="0.4"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1:18" x14ac:dyDescent="0.4">
      <c r="A58" s="136" t="s">
        <v>82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</row>
    <row r="59" spans="1:18" hidden="1" x14ac:dyDescent="0.4">
      <c r="A59" s="236" t="s">
        <v>55</v>
      </c>
      <c r="B59" s="238" t="s">
        <v>19</v>
      </c>
      <c r="C59" s="240" t="s">
        <v>55</v>
      </c>
      <c r="D59" s="195" t="s">
        <v>56</v>
      </c>
      <c r="E59" s="195" t="s">
        <v>57</v>
      </c>
      <c r="F59" s="9">
        <v>0</v>
      </c>
      <c r="G59" s="15">
        <v>0</v>
      </c>
      <c r="H59" s="9"/>
      <c r="I59" s="9">
        <v>0</v>
      </c>
      <c r="J59" s="9">
        <v>0</v>
      </c>
      <c r="K59" s="9">
        <v>0</v>
      </c>
      <c r="L59" s="9">
        <v>0</v>
      </c>
      <c r="M59" s="15">
        <v>0</v>
      </c>
      <c r="N59" s="9">
        <v>0</v>
      </c>
      <c r="O59" s="9">
        <v>0</v>
      </c>
      <c r="P59" s="9">
        <v>0</v>
      </c>
      <c r="Q59" s="9"/>
      <c r="R59" s="9">
        <f t="shared" ref="R59:R61" si="14">SUM(F59:Q59)</f>
        <v>0</v>
      </c>
    </row>
    <row r="60" spans="1:18" x14ac:dyDescent="0.4">
      <c r="A60" s="237"/>
      <c r="B60" s="239"/>
      <c r="C60" s="241"/>
      <c r="D60" s="195" t="s">
        <v>55</v>
      </c>
      <c r="E60" s="195" t="s">
        <v>59</v>
      </c>
      <c r="F60" s="9"/>
      <c r="G60" s="15"/>
      <c r="H60" s="9">
        <f>15000</f>
        <v>15000</v>
      </c>
      <c r="I60" s="9"/>
      <c r="J60" s="9"/>
      <c r="K60" s="9"/>
      <c r="L60" s="9"/>
      <c r="M60" s="15"/>
      <c r="N60" s="9"/>
      <c r="O60" s="9"/>
      <c r="P60" s="9"/>
      <c r="Q60" s="9"/>
      <c r="R60" s="9">
        <f t="shared" si="14"/>
        <v>15000</v>
      </c>
    </row>
    <row r="61" spans="1:18" ht="17.399999999999999" hidden="1" customHeight="1" x14ac:dyDescent="0.4">
      <c r="A61" s="237"/>
      <c r="B61" s="243" t="s">
        <v>26</v>
      </c>
      <c r="C61" s="242"/>
      <c r="D61" s="238" t="s">
        <v>60</v>
      </c>
      <c r="E61" s="25" t="s">
        <v>61</v>
      </c>
      <c r="F61" s="9"/>
      <c r="G61" s="15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f t="shared" si="14"/>
        <v>0</v>
      </c>
    </row>
    <row r="62" spans="1:18" x14ac:dyDescent="0.4">
      <c r="A62" s="237"/>
      <c r="B62" s="243"/>
      <c r="C62" s="242"/>
      <c r="D62" s="242"/>
      <c r="E62" s="25" t="s">
        <v>83</v>
      </c>
      <c r="F62" s="9">
        <v>0</v>
      </c>
      <c r="G62" s="9">
        <v>14110</v>
      </c>
      <c r="H62" s="9"/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5215</v>
      </c>
      <c r="O62" s="9">
        <v>20000</v>
      </c>
      <c r="P62" s="9">
        <v>0</v>
      </c>
      <c r="Q62" s="9">
        <v>0</v>
      </c>
      <c r="R62" s="9">
        <f>SUM(F62:Q62)</f>
        <v>39325</v>
      </c>
    </row>
    <row r="63" spans="1:18" x14ac:dyDescent="0.4">
      <c r="A63" s="237"/>
      <c r="B63" s="243"/>
      <c r="C63" s="242"/>
      <c r="D63" s="239"/>
      <c r="E63" s="25" t="s">
        <v>122</v>
      </c>
      <c r="F63" s="9"/>
      <c r="G63" s="9"/>
      <c r="H63" s="9"/>
      <c r="I63" s="9"/>
      <c r="J63" s="9"/>
      <c r="K63" s="9"/>
      <c r="L63" s="9"/>
      <c r="M63" s="9">
        <v>40000</v>
      </c>
      <c r="N63" s="9"/>
      <c r="O63" s="9"/>
      <c r="P63" s="9"/>
      <c r="Q63" s="9"/>
      <c r="R63" s="9">
        <f>SUM(F63:Q63)</f>
        <v>40000</v>
      </c>
    </row>
    <row r="64" spans="1:18" hidden="1" x14ac:dyDescent="0.4">
      <c r="A64" s="237"/>
      <c r="B64" s="243"/>
      <c r="C64" s="242"/>
      <c r="D64" s="195" t="s">
        <v>63</v>
      </c>
      <c r="E64" s="25" t="s">
        <v>64</v>
      </c>
      <c r="F64" s="9">
        <v>0</v>
      </c>
      <c r="G64" s="9"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>
        <f t="shared" ref="R64:R76" si="15">SUM(F64:Q64)</f>
        <v>0</v>
      </c>
    </row>
    <row r="65" spans="1:18" hidden="1" x14ac:dyDescent="0.4">
      <c r="A65" s="237"/>
      <c r="B65" s="243"/>
      <c r="C65" s="242"/>
      <c r="D65" s="195" t="s">
        <v>65</v>
      </c>
      <c r="E65" s="25" t="s">
        <v>66</v>
      </c>
      <c r="F65" s="9"/>
      <c r="G65" s="9"/>
      <c r="H65" s="9"/>
      <c r="I65" s="9"/>
      <c r="J65" s="9"/>
      <c r="K65" s="9"/>
      <c r="L65" s="9"/>
      <c r="M65" s="9"/>
      <c r="N65" s="9"/>
      <c r="O65" s="26"/>
      <c r="P65" s="9"/>
      <c r="Q65" s="9"/>
      <c r="R65" s="9">
        <f t="shared" si="15"/>
        <v>0</v>
      </c>
    </row>
    <row r="66" spans="1:18" x14ac:dyDescent="0.4">
      <c r="A66" s="237"/>
      <c r="B66" s="243"/>
      <c r="C66" s="242"/>
      <c r="D66" s="195" t="s">
        <v>65</v>
      </c>
      <c r="E66" s="25" t="s">
        <v>67</v>
      </c>
      <c r="F66" s="9">
        <v>0</v>
      </c>
      <c r="G66" s="9">
        <v>1550</v>
      </c>
      <c r="H66" s="9"/>
      <c r="I66" s="9"/>
      <c r="J66" s="9">
        <f>4899+4+16</f>
        <v>4919</v>
      </c>
      <c r="K66" s="9"/>
      <c r="L66" s="9"/>
      <c r="M66" s="9">
        <v>0</v>
      </c>
      <c r="N66" s="9">
        <f>5000</f>
        <v>5000</v>
      </c>
      <c r="O66" s="9">
        <v>0</v>
      </c>
      <c r="P66" s="9">
        <v>0</v>
      </c>
      <c r="Q66" s="9"/>
      <c r="R66" s="9">
        <f>SUM(F66:Q66)</f>
        <v>11469</v>
      </c>
    </row>
    <row r="67" spans="1:18" x14ac:dyDescent="0.4">
      <c r="A67" s="237"/>
      <c r="B67" s="243"/>
      <c r="C67" s="242"/>
      <c r="D67" s="238" t="s">
        <v>55</v>
      </c>
      <c r="E67" s="25" t="s">
        <v>137</v>
      </c>
      <c r="F67" s="9">
        <v>0</v>
      </c>
      <c r="G67" s="9">
        <v>0</v>
      </c>
      <c r="H67" s="9">
        <v>47000</v>
      </c>
      <c r="I67" s="9"/>
      <c r="J67" s="9"/>
      <c r="K67" s="9"/>
      <c r="L67" s="9"/>
      <c r="M67" s="9">
        <v>0</v>
      </c>
      <c r="N67" s="9"/>
      <c r="O67" s="9">
        <v>0</v>
      </c>
      <c r="P67" s="9">
        <v>0</v>
      </c>
      <c r="Q67" s="9"/>
      <c r="R67" s="9">
        <f>SUM(F67:Q67)</f>
        <v>47000</v>
      </c>
    </row>
    <row r="68" spans="1:18" hidden="1" x14ac:dyDescent="0.4">
      <c r="A68" s="237"/>
      <c r="B68" s="243"/>
      <c r="C68" s="242"/>
      <c r="D68" s="239"/>
      <c r="E68" s="25" t="s">
        <v>139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>
        <f>SUM(F68:Q68)</f>
        <v>0</v>
      </c>
    </row>
    <row r="69" spans="1:18" x14ac:dyDescent="0.4">
      <c r="A69" s="237"/>
      <c r="B69" s="243"/>
      <c r="C69" s="242"/>
      <c r="D69" s="195" t="s">
        <v>68</v>
      </c>
      <c r="E69" s="25" t="s">
        <v>69</v>
      </c>
      <c r="F69" s="15">
        <v>0</v>
      </c>
      <c r="G69" s="169">
        <v>1172</v>
      </c>
      <c r="H69" s="9">
        <v>2220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f>SUM(F69:Q69)</f>
        <v>3392</v>
      </c>
    </row>
    <row r="70" spans="1:18" hidden="1" x14ac:dyDescent="0.4">
      <c r="A70" s="237"/>
      <c r="B70" s="191" t="s">
        <v>43</v>
      </c>
      <c r="C70" s="242"/>
      <c r="D70" s="195" t="s">
        <v>65</v>
      </c>
      <c r="E70" s="25" t="s">
        <v>70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>
        <f t="shared" si="15"/>
        <v>0</v>
      </c>
    </row>
    <row r="71" spans="1:18" x14ac:dyDescent="0.4">
      <c r="A71" s="237"/>
      <c r="B71" s="238" t="s">
        <v>71</v>
      </c>
      <c r="C71" s="242"/>
      <c r="D71" s="195" t="s">
        <v>65</v>
      </c>
      <c r="E71" s="25" t="s">
        <v>142</v>
      </c>
      <c r="F71" s="9">
        <v>0</v>
      </c>
      <c r="G71" s="9">
        <v>1800</v>
      </c>
      <c r="H71" s="9">
        <v>0</v>
      </c>
      <c r="I71" s="9"/>
      <c r="J71" s="9"/>
      <c r="K71" s="9"/>
      <c r="L71" s="9"/>
      <c r="M71" s="9"/>
      <c r="N71" s="9">
        <v>3000</v>
      </c>
      <c r="O71" s="9">
        <f>6590-3</f>
        <v>6587</v>
      </c>
      <c r="P71" s="9"/>
      <c r="Q71" s="9">
        <v>0</v>
      </c>
      <c r="R71" s="9">
        <f t="shared" si="15"/>
        <v>11387</v>
      </c>
    </row>
    <row r="72" spans="1:18" x14ac:dyDescent="0.4">
      <c r="A72" s="237"/>
      <c r="B72" s="239"/>
      <c r="C72" s="242"/>
      <c r="D72" s="195" t="s">
        <v>141</v>
      </c>
      <c r="E72" s="25" t="s">
        <v>143</v>
      </c>
      <c r="F72" s="9">
        <v>0</v>
      </c>
      <c r="G72" s="9"/>
      <c r="H72" s="9">
        <v>5360</v>
      </c>
      <c r="I72" s="9">
        <v>8400</v>
      </c>
      <c r="J72" s="9"/>
      <c r="K72" s="9"/>
      <c r="L72" s="9"/>
      <c r="M72" s="9">
        <f>5000</f>
        <v>5000</v>
      </c>
      <c r="N72" s="9"/>
      <c r="O72" s="9"/>
      <c r="P72" s="9"/>
      <c r="Q72" s="9">
        <v>0</v>
      </c>
      <c r="R72" s="9">
        <f t="shared" si="15"/>
        <v>18760</v>
      </c>
    </row>
    <row r="73" spans="1:18" x14ac:dyDescent="0.4">
      <c r="A73" s="237"/>
      <c r="B73" s="238" t="s">
        <v>72</v>
      </c>
      <c r="C73" s="242"/>
      <c r="D73" s="27" t="s">
        <v>73</v>
      </c>
      <c r="E73" s="195" t="s">
        <v>74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24000</v>
      </c>
      <c r="R73" s="9">
        <f t="shared" si="15"/>
        <v>24000</v>
      </c>
    </row>
    <row r="74" spans="1:18" x14ac:dyDescent="0.4">
      <c r="A74" s="237"/>
      <c r="B74" s="242"/>
      <c r="C74" s="242"/>
      <c r="D74" s="240" t="s">
        <v>75</v>
      </c>
      <c r="E74" s="195" t="s">
        <v>123</v>
      </c>
      <c r="F74" s="9">
        <v>0</v>
      </c>
      <c r="G74" s="9">
        <v>0</v>
      </c>
      <c r="H74" s="9">
        <v>6420</v>
      </c>
      <c r="I74" s="9">
        <v>0</v>
      </c>
      <c r="J74" s="9"/>
      <c r="K74" s="15">
        <v>0</v>
      </c>
      <c r="L74" s="15">
        <v>0</v>
      </c>
      <c r="M74" s="15">
        <v>0</v>
      </c>
      <c r="N74" s="15">
        <v>0</v>
      </c>
      <c r="O74" s="9">
        <v>0</v>
      </c>
      <c r="P74" s="9">
        <f>80*60</f>
        <v>4800</v>
      </c>
      <c r="Q74" s="9">
        <f>60*60</f>
        <v>3600</v>
      </c>
      <c r="R74" s="9">
        <f t="shared" si="15"/>
        <v>14820</v>
      </c>
    </row>
    <row r="75" spans="1:18" x14ac:dyDescent="0.4">
      <c r="A75" s="237"/>
      <c r="B75" s="242"/>
      <c r="C75" s="242"/>
      <c r="D75" s="241"/>
      <c r="E75" s="195" t="s">
        <v>76</v>
      </c>
      <c r="F75" s="9">
        <v>0</v>
      </c>
      <c r="G75" s="9">
        <v>360</v>
      </c>
      <c r="H75" s="9">
        <v>0</v>
      </c>
      <c r="I75" s="9">
        <v>0</v>
      </c>
      <c r="J75" s="9">
        <v>0</v>
      </c>
      <c r="K75" s="15">
        <v>0</v>
      </c>
      <c r="L75" s="15">
        <v>0</v>
      </c>
      <c r="M75" s="15">
        <v>0</v>
      </c>
      <c r="N75" s="15">
        <v>0</v>
      </c>
      <c r="O75" s="9">
        <v>0</v>
      </c>
      <c r="P75" s="9">
        <v>0</v>
      </c>
      <c r="Q75" s="9">
        <v>0</v>
      </c>
      <c r="R75" s="9">
        <f t="shared" si="15"/>
        <v>360</v>
      </c>
    </row>
    <row r="76" spans="1:18" hidden="1" x14ac:dyDescent="0.4">
      <c r="A76" s="237"/>
      <c r="B76" s="239"/>
      <c r="C76" s="239"/>
      <c r="D76" s="244"/>
      <c r="E76" s="195" t="s">
        <v>77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15">
        <v>0</v>
      </c>
      <c r="L76" s="15">
        <v>0</v>
      </c>
      <c r="M76" s="15">
        <v>0</v>
      </c>
      <c r="N76" s="15">
        <v>0</v>
      </c>
      <c r="O76" s="9">
        <v>0</v>
      </c>
      <c r="P76" s="9">
        <v>0</v>
      </c>
      <c r="Q76" s="9">
        <v>0</v>
      </c>
      <c r="R76" s="9">
        <f t="shared" si="15"/>
        <v>0</v>
      </c>
    </row>
    <row r="77" spans="1:18" ht="17.399999999999999" customHeight="1" x14ac:dyDescent="0.4">
      <c r="A77" s="247" t="s">
        <v>78</v>
      </c>
      <c r="B77" s="248"/>
      <c r="C77" s="248"/>
      <c r="D77" s="248"/>
      <c r="E77" s="249"/>
      <c r="F77" s="28">
        <f t="shared" ref="F77:Q77" si="16">SUM(F59:F76)</f>
        <v>0</v>
      </c>
      <c r="G77" s="28">
        <f t="shared" si="16"/>
        <v>18992</v>
      </c>
      <c r="H77" s="28">
        <f>SUM(H59:H76)</f>
        <v>76000</v>
      </c>
      <c r="I77" s="28">
        <f>SUM(I59:I76)</f>
        <v>8400</v>
      </c>
      <c r="J77" s="28">
        <f t="shared" si="16"/>
        <v>4919</v>
      </c>
      <c r="K77" s="28">
        <f t="shared" si="16"/>
        <v>0</v>
      </c>
      <c r="L77" s="28">
        <f t="shared" si="16"/>
        <v>0</v>
      </c>
      <c r="M77" s="28">
        <f t="shared" si="16"/>
        <v>45000</v>
      </c>
      <c r="N77" s="28">
        <f t="shared" si="16"/>
        <v>13215</v>
      </c>
      <c r="O77" s="28">
        <f t="shared" si="16"/>
        <v>26587</v>
      </c>
      <c r="P77" s="28">
        <f t="shared" si="16"/>
        <v>4800</v>
      </c>
      <c r="Q77" s="28">
        <f t="shared" si="16"/>
        <v>27600</v>
      </c>
      <c r="R77" s="30">
        <f>SUM(R59:R76)</f>
        <v>225513</v>
      </c>
    </row>
    <row r="78" spans="1:18" x14ac:dyDescent="0.4">
      <c r="A78" s="250" t="s">
        <v>84</v>
      </c>
      <c r="B78" s="251"/>
      <c r="C78" s="251"/>
      <c r="D78" s="251"/>
      <c r="E78" s="252"/>
      <c r="F78" s="35">
        <f>SUM(F60:F67)*17.65%+F71*17.65%+F73*17.65%</f>
        <v>0</v>
      </c>
      <c r="G78" s="35">
        <f>SUM(G60:G67)*17.65%+G71*17.65%+G73*17.65%</f>
        <v>3081.6899999999996</v>
      </c>
      <c r="H78" s="35">
        <f>(SUM(H60:H69)-220)*17.65%+H71*17.65%+H73*17.65%</f>
        <v>11296</v>
      </c>
      <c r="I78" s="35">
        <f t="shared" ref="I78:Q78" si="17">SUM(I60:I67)*17.65%+I71*17.65%+I73*17.65%</f>
        <v>0</v>
      </c>
      <c r="J78" s="35">
        <f t="shared" si="17"/>
        <v>868.20349999999996</v>
      </c>
      <c r="K78" s="35">
        <f t="shared" si="17"/>
        <v>0</v>
      </c>
      <c r="L78" s="35">
        <f t="shared" si="17"/>
        <v>0</v>
      </c>
      <c r="M78" s="35">
        <f>SUM(M60:M67)*17.65%+M71*17.65%+M73*17.65%</f>
        <v>7060</v>
      </c>
      <c r="N78" s="35">
        <f>SUM(N60:N67)*17.65%+N71*17.65%+N73*17.65%</f>
        <v>2332.4475000000002</v>
      </c>
      <c r="O78" s="35">
        <f>SUM(O60:O67)*17.65%+O71*17.65%+O73*17.65%</f>
        <v>4692.6054999999997</v>
      </c>
      <c r="P78" s="35">
        <f t="shared" si="17"/>
        <v>0</v>
      </c>
      <c r="Q78" s="35">
        <f t="shared" si="17"/>
        <v>4236</v>
      </c>
      <c r="R78" s="35">
        <f>SUM(F78:Q78)</f>
        <v>33566.946499999998</v>
      </c>
    </row>
    <row r="79" spans="1:18" x14ac:dyDescent="0.4">
      <c r="A79" s="234" t="s">
        <v>85</v>
      </c>
      <c r="B79" s="234"/>
      <c r="C79" s="234"/>
      <c r="D79" s="234"/>
      <c r="E79" s="234"/>
      <c r="F79" s="36">
        <f>F77+F78</f>
        <v>0</v>
      </c>
      <c r="G79" s="36">
        <f t="shared" ref="G79:Q79" si="18">G77+G78</f>
        <v>22073.69</v>
      </c>
      <c r="H79" s="36">
        <f>H77+H78</f>
        <v>87296</v>
      </c>
      <c r="I79" s="36">
        <f t="shared" si="18"/>
        <v>8400</v>
      </c>
      <c r="J79" s="36">
        <f>J77+J78-1</f>
        <v>5786.2034999999996</v>
      </c>
      <c r="K79" s="36">
        <f t="shared" si="18"/>
        <v>0</v>
      </c>
      <c r="L79" s="36">
        <f>L77+L78</f>
        <v>0</v>
      </c>
      <c r="M79" s="36">
        <f t="shared" si="18"/>
        <v>52060</v>
      </c>
      <c r="N79" s="36">
        <f t="shared" si="18"/>
        <v>15547.4475</v>
      </c>
      <c r="O79" s="36">
        <f t="shared" si="18"/>
        <v>31279.605499999998</v>
      </c>
      <c r="P79" s="36">
        <f t="shared" si="18"/>
        <v>4800</v>
      </c>
      <c r="Q79" s="36">
        <f t="shared" si="18"/>
        <v>31836</v>
      </c>
      <c r="R79" s="36">
        <f>R77+R78</f>
        <v>259079.94649999999</v>
      </c>
    </row>
    <row r="80" spans="1:18" x14ac:dyDescent="0.4">
      <c r="H80" s="33"/>
      <c r="I80" s="33"/>
      <c r="J80" s="33"/>
      <c r="K80" s="33"/>
      <c r="L80" s="33"/>
      <c r="M80" s="33"/>
      <c r="N80" s="33"/>
      <c r="O80" s="33"/>
      <c r="P80" s="33"/>
    </row>
    <row r="81" spans="6:18" hidden="1" x14ac:dyDescent="0.4">
      <c r="L81" s="35"/>
      <c r="M81" s="35"/>
      <c r="N81" s="33"/>
    </row>
    <row r="82" spans="6:18" hidden="1" x14ac:dyDescent="0.4">
      <c r="O82" s="37"/>
    </row>
    <row r="83" spans="6:18" hidden="1" x14ac:dyDescent="0.4">
      <c r="O83" s="37"/>
      <c r="P83" s="33"/>
      <c r="R83" s="33"/>
    </row>
    <row r="84" spans="6:18" hidden="1" x14ac:dyDescent="0.4">
      <c r="O84" s="37"/>
    </row>
    <row r="85" spans="6:18" hidden="1" x14ac:dyDescent="0.4">
      <c r="F85" s="37"/>
      <c r="O85" s="33"/>
    </row>
    <row r="87" spans="6:18" x14ac:dyDescent="0.4">
      <c r="F87" s="34"/>
      <c r="H87" s="34"/>
    </row>
    <row r="88" spans="6:18" x14ac:dyDescent="0.4">
      <c r="I88" s="154"/>
    </row>
  </sheetData>
  <mergeCells count="48">
    <mergeCell ref="A79:E79"/>
    <mergeCell ref="A56:R56"/>
    <mergeCell ref="A59:A76"/>
    <mergeCell ref="B59:B60"/>
    <mergeCell ref="C59:C76"/>
    <mergeCell ref="B61:B69"/>
    <mergeCell ref="D61:D63"/>
    <mergeCell ref="D67:D68"/>
    <mergeCell ref="B71:B72"/>
    <mergeCell ref="B73:B76"/>
    <mergeCell ref="D74:D76"/>
    <mergeCell ref="D50:D52"/>
    <mergeCell ref="A53:E53"/>
    <mergeCell ref="A54:E54"/>
    <mergeCell ref="A77:E77"/>
    <mergeCell ref="A78:E78"/>
    <mergeCell ref="D24:D27"/>
    <mergeCell ref="C28:C29"/>
    <mergeCell ref="D28:D29"/>
    <mergeCell ref="A55:E55"/>
    <mergeCell ref="B30:E30"/>
    <mergeCell ref="B32:E32"/>
    <mergeCell ref="A33:E33"/>
    <mergeCell ref="A34:A52"/>
    <mergeCell ref="B34:B36"/>
    <mergeCell ref="C34:C52"/>
    <mergeCell ref="D34:D35"/>
    <mergeCell ref="B37:B45"/>
    <mergeCell ref="D37:D39"/>
    <mergeCell ref="D43:D44"/>
    <mergeCell ref="B47:B48"/>
    <mergeCell ref="B49:B52"/>
    <mergeCell ref="A1:F1"/>
    <mergeCell ref="A3:D3"/>
    <mergeCell ref="A4:E4"/>
    <mergeCell ref="A5:A32"/>
    <mergeCell ref="B5:B6"/>
    <mergeCell ref="C5:C6"/>
    <mergeCell ref="B7:E7"/>
    <mergeCell ref="B8:B20"/>
    <mergeCell ref="C8:C11"/>
    <mergeCell ref="D8:D10"/>
    <mergeCell ref="C12:C16"/>
    <mergeCell ref="C17:C20"/>
    <mergeCell ref="B21:E21"/>
    <mergeCell ref="B23:E23"/>
    <mergeCell ref="B24:B29"/>
    <mergeCell ref="C24:C27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6" max="17" man="1"/>
    <brk id="79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40E3-D956-44C2-AB02-676D3AA2430D}">
  <sheetPr>
    <pageSetUpPr fitToPage="1"/>
  </sheetPr>
  <dimension ref="A1:R88"/>
  <sheetViews>
    <sheetView zoomScale="85" zoomScaleNormal="85" workbookViewId="0">
      <selection activeCell="G12" sqref="G12"/>
    </sheetView>
  </sheetViews>
  <sheetFormatPr defaultRowHeight="17.399999999999999" x14ac:dyDescent="0.4"/>
  <cols>
    <col min="1" max="1" width="8.69921875" customWidth="1"/>
    <col min="2" max="2" width="13" bestFit="1" customWidth="1"/>
    <col min="3" max="3" width="14.8984375" customWidth="1"/>
    <col min="4" max="4" width="17.8984375" customWidth="1"/>
    <col min="5" max="5" width="41.5" customWidth="1"/>
    <col min="6" max="6" width="12.69921875" bestFit="1" customWidth="1"/>
    <col min="7" max="10" width="13.69921875" customWidth="1"/>
    <col min="11" max="11" width="14.69921875" customWidth="1"/>
    <col min="12" max="12" width="13.69921875" customWidth="1"/>
    <col min="13" max="13" width="13" customWidth="1"/>
    <col min="14" max="14" width="13.69921875" customWidth="1"/>
    <col min="15" max="15" width="13" bestFit="1" customWidth="1"/>
    <col min="16" max="16" width="12.3984375" customWidth="1"/>
    <col min="17" max="17" width="12" customWidth="1"/>
    <col min="18" max="18" width="15.5" bestFit="1" customWidth="1"/>
  </cols>
  <sheetData>
    <row r="1" spans="1:18" ht="30" x14ac:dyDescent="0.4">
      <c r="A1" s="261" t="s">
        <v>115</v>
      </c>
      <c r="B1" s="261"/>
      <c r="C1" s="261"/>
      <c r="D1" s="261"/>
      <c r="E1" s="261"/>
      <c r="F1" s="261"/>
      <c r="R1" s="1" t="s">
        <v>144</v>
      </c>
    </row>
    <row r="2" spans="1:18" ht="17.25" customHeight="1" x14ac:dyDescent="0.4">
      <c r="A2" s="181"/>
      <c r="B2" s="181"/>
      <c r="C2" s="181"/>
      <c r="D2" s="181"/>
      <c r="E2" s="181"/>
      <c r="F2" s="181"/>
      <c r="R2" s="3" t="s">
        <v>0</v>
      </c>
    </row>
    <row r="3" spans="1:18" x14ac:dyDescent="0.4">
      <c r="A3" s="262" t="s">
        <v>1</v>
      </c>
      <c r="B3" s="262"/>
      <c r="C3" s="262"/>
      <c r="D3" s="262"/>
      <c r="E3" s="4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</row>
    <row r="4" spans="1:18" x14ac:dyDescent="0.4">
      <c r="A4" s="263" t="s">
        <v>16</v>
      </c>
      <c r="B4" s="264"/>
      <c r="C4" s="264"/>
      <c r="D4" s="264"/>
      <c r="E4" s="265"/>
      <c r="F4" s="6" t="s">
        <v>116</v>
      </c>
      <c r="G4" s="6" t="s">
        <v>117</v>
      </c>
      <c r="H4" s="6" t="s">
        <v>118</v>
      </c>
      <c r="I4" s="6"/>
      <c r="J4" s="6" t="s">
        <v>17</v>
      </c>
      <c r="K4" s="6" t="s">
        <v>119</v>
      </c>
      <c r="L4" s="6" t="s">
        <v>18</v>
      </c>
      <c r="M4" s="6" t="s">
        <v>18</v>
      </c>
      <c r="N4" s="6" t="s">
        <v>120</v>
      </c>
      <c r="O4" s="6"/>
      <c r="P4" s="6"/>
      <c r="Q4" s="6" t="s">
        <v>121</v>
      </c>
      <c r="R4" s="6"/>
    </row>
    <row r="5" spans="1:18" x14ac:dyDescent="0.4">
      <c r="A5" s="266" t="s">
        <v>1</v>
      </c>
      <c r="B5" s="254" t="s">
        <v>19</v>
      </c>
      <c r="C5" s="254" t="s">
        <v>20</v>
      </c>
      <c r="D5" s="180" t="s">
        <v>21</v>
      </c>
      <c r="E5" s="8" t="s">
        <v>22</v>
      </c>
      <c r="F5" s="9">
        <v>0</v>
      </c>
      <c r="G5" s="9">
        <v>0</v>
      </c>
      <c r="H5" s="9">
        <v>470000</v>
      </c>
      <c r="I5" s="9">
        <v>450000</v>
      </c>
      <c r="J5" s="10">
        <v>50000</v>
      </c>
      <c r="K5" s="9">
        <v>0</v>
      </c>
      <c r="L5" s="9">
        <v>0</v>
      </c>
      <c r="M5" s="10">
        <v>50000</v>
      </c>
      <c r="N5" s="10">
        <v>80000</v>
      </c>
      <c r="O5" s="9">
        <v>0</v>
      </c>
      <c r="P5" s="9">
        <v>0</v>
      </c>
      <c r="Q5" s="9">
        <v>0</v>
      </c>
      <c r="R5" s="11">
        <f>SUM(F5:Q5)</f>
        <v>1100000</v>
      </c>
    </row>
    <row r="6" spans="1:18" x14ac:dyDescent="0.4">
      <c r="A6" s="266"/>
      <c r="B6" s="255"/>
      <c r="C6" s="255"/>
      <c r="D6" s="178" t="s">
        <v>23</v>
      </c>
      <c r="E6" s="178" t="s">
        <v>24</v>
      </c>
      <c r="F6" s="9">
        <v>0</v>
      </c>
      <c r="G6" s="9">
        <v>300000</v>
      </c>
      <c r="H6" s="9">
        <v>330000</v>
      </c>
      <c r="I6" s="9">
        <v>350000</v>
      </c>
      <c r="J6" s="9">
        <v>250000</v>
      </c>
      <c r="K6" s="9">
        <v>0</v>
      </c>
      <c r="L6" s="9">
        <v>0</v>
      </c>
      <c r="M6" s="9">
        <v>150000</v>
      </c>
      <c r="N6" s="9">
        <v>220000</v>
      </c>
      <c r="O6" s="9"/>
      <c r="P6" s="9">
        <v>0</v>
      </c>
      <c r="Q6" s="9">
        <v>0</v>
      </c>
      <c r="R6" s="9">
        <f>SUM(F6:Q6)</f>
        <v>1600000</v>
      </c>
    </row>
    <row r="7" spans="1:18" x14ac:dyDescent="0.4">
      <c r="A7" s="266"/>
      <c r="B7" s="256" t="s">
        <v>25</v>
      </c>
      <c r="C7" s="257"/>
      <c r="D7" s="257"/>
      <c r="E7" s="258"/>
      <c r="F7" s="13">
        <f t="shared" ref="F7:G7" si="0">F6</f>
        <v>0</v>
      </c>
      <c r="G7" s="13">
        <f t="shared" si="0"/>
        <v>300000</v>
      </c>
      <c r="H7" s="13">
        <f t="shared" ref="H7:Q7" si="1">SUM(H5:H6)</f>
        <v>800000</v>
      </c>
      <c r="I7" s="13">
        <f t="shared" si="1"/>
        <v>800000</v>
      </c>
      <c r="J7" s="13">
        <f t="shared" si="1"/>
        <v>300000</v>
      </c>
      <c r="K7" s="13">
        <f t="shared" si="1"/>
        <v>0</v>
      </c>
      <c r="L7" s="13">
        <f t="shared" si="1"/>
        <v>0</v>
      </c>
      <c r="M7" s="13">
        <f t="shared" si="1"/>
        <v>200000</v>
      </c>
      <c r="N7" s="13">
        <f t="shared" si="1"/>
        <v>300000</v>
      </c>
      <c r="O7" s="13">
        <f t="shared" si="1"/>
        <v>0</v>
      </c>
      <c r="P7" s="13">
        <f t="shared" si="1"/>
        <v>0</v>
      </c>
      <c r="Q7" s="13">
        <f t="shared" si="1"/>
        <v>0</v>
      </c>
      <c r="R7" s="13">
        <f>SUM(F7:Q7)</f>
        <v>2700000</v>
      </c>
    </row>
    <row r="8" spans="1:18" x14ac:dyDescent="0.4">
      <c r="A8" s="266"/>
      <c r="B8" s="254" t="s">
        <v>26</v>
      </c>
      <c r="C8" s="268" t="s">
        <v>27</v>
      </c>
      <c r="D8" s="238" t="s">
        <v>28</v>
      </c>
      <c r="E8" s="178" t="s">
        <v>29</v>
      </c>
      <c r="F8" s="9">
        <v>0</v>
      </c>
      <c r="G8" s="9">
        <v>12000</v>
      </c>
      <c r="H8" s="138">
        <v>20000</v>
      </c>
      <c r="I8" s="9">
        <v>18000</v>
      </c>
      <c r="J8" s="9">
        <v>18000</v>
      </c>
      <c r="K8" s="9">
        <v>0</v>
      </c>
      <c r="L8" s="9">
        <v>0</v>
      </c>
      <c r="M8" s="9">
        <v>18000</v>
      </c>
      <c r="N8" s="9">
        <v>18000</v>
      </c>
      <c r="O8" s="9">
        <v>18000</v>
      </c>
      <c r="P8" s="9">
        <v>0</v>
      </c>
      <c r="Q8" s="9">
        <v>0</v>
      </c>
      <c r="R8" s="9">
        <f>SUM(F8:Q8)</f>
        <v>122000</v>
      </c>
    </row>
    <row r="9" spans="1:18" x14ac:dyDescent="0.4">
      <c r="A9" s="266"/>
      <c r="B9" s="254"/>
      <c r="C9" s="268"/>
      <c r="D9" s="242"/>
      <c r="E9" s="178" t="s">
        <v>124</v>
      </c>
      <c r="F9" s="9">
        <v>0</v>
      </c>
      <c r="G9" s="9">
        <v>6110</v>
      </c>
      <c r="H9" s="138">
        <v>15000</v>
      </c>
      <c r="I9" s="9">
        <v>10000</v>
      </c>
      <c r="J9" s="138">
        <v>15000</v>
      </c>
      <c r="K9" s="9">
        <v>0</v>
      </c>
      <c r="L9" s="9">
        <v>0</v>
      </c>
      <c r="M9" s="9">
        <v>10000</v>
      </c>
      <c r="N9" s="9">
        <v>10000</v>
      </c>
      <c r="O9" s="9">
        <v>10000</v>
      </c>
      <c r="P9" s="9">
        <v>0</v>
      </c>
      <c r="Q9" s="9">
        <v>0</v>
      </c>
      <c r="R9" s="9">
        <f t="shared" ref="R9:R20" si="2">SUM(F9:Q9)</f>
        <v>76110</v>
      </c>
    </row>
    <row r="10" spans="1:18" x14ac:dyDescent="0.4">
      <c r="A10" s="266"/>
      <c r="B10" s="254"/>
      <c r="C10" s="268"/>
      <c r="D10" s="239"/>
      <c r="E10" s="178" t="s">
        <v>30</v>
      </c>
      <c r="F10" s="9">
        <v>0</v>
      </c>
      <c r="G10" s="9">
        <v>10000</v>
      </c>
      <c r="H10" s="138">
        <v>8000</v>
      </c>
      <c r="I10" s="9">
        <v>0</v>
      </c>
      <c r="J10" s="138">
        <v>10000</v>
      </c>
      <c r="K10" s="9">
        <v>0</v>
      </c>
      <c r="L10" s="9">
        <v>0</v>
      </c>
      <c r="M10" s="9">
        <v>0</v>
      </c>
      <c r="N10" s="9">
        <v>15000</v>
      </c>
      <c r="O10" s="9">
        <v>0</v>
      </c>
      <c r="P10" s="9">
        <v>0</v>
      </c>
      <c r="Q10" s="9">
        <v>0</v>
      </c>
      <c r="R10" s="9">
        <f t="shared" si="2"/>
        <v>43000</v>
      </c>
    </row>
    <row r="11" spans="1:18" x14ac:dyDescent="0.4">
      <c r="A11" s="266"/>
      <c r="B11" s="254"/>
      <c r="C11" s="268"/>
      <c r="D11" s="178" t="s">
        <v>31</v>
      </c>
      <c r="E11" s="178" t="s">
        <v>32</v>
      </c>
      <c r="F11" s="9">
        <v>0</v>
      </c>
      <c r="G11" s="9">
        <v>7000</v>
      </c>
      <c r="H11" s="9">
        <v>10000</v>
      </c>
      <c r="I11" s="9">
        <v>10000</v>
      </c>
      <c r="J11" s="138">
        <v>8890</v>
      </c>
      <c r="K11" s="9">
        <v>0</v>
      </c>
      <c r="L11" s="9">
        <v>0</v>
      </c>
      <c r="M11" s="9">
        <v>10000</v>
      </c>
      <c r="N11" s="9">
        <v>10000</v>
      </c>
      <c r="O11" s="9">
        <v>10000</v>
      </c>
      <c r="P11" s="9">
        <v>0</v>
      </c>
      <c r="Q11" s="9">
        <v>0</v>
      </c>
      <c r="R11" s="9">
        <f t="shared" si="2"/>
        <v>65890</v>
      </c>
    </row>
    <row r="12" spans="1:18" x14ac:dyDescent="0.4">
      <c r="A12" s="266"/>
      <c r="B12" s="254"/>
      <c r="C12" s="268" t="s">
        <v>33</v>
      </c>
      <c r="D12" s="175" t="s">
        <v>34</v>
      </c>
      <c r="E12" s="178" t="s">
        <v>35</v>
      </c>
      <c r="F12" s="9">
        <v>0</v>
      </c>
      <c r="G12" s="9">
        <v>10000</v>
      </c>
      <c r="H12" s="15">
        <v>15000</v>
      </c>
      <c r="I12" s="15">
        <v>15000</v>
      </c>
      <c r="J12" s="15">
        <v>15000</v>
      </c>
      <c r="K12" s="9">
        <v>0</v>
      </c>
      <c r="L12" s="9">
        <v>0</v>
      </c>
      <c r="M12" s="15">
        <v>15000</v>
      </c>
      <c r="N12" s="15">
        <v>15000</v>
      </c>
      <c r="O12" s="15">
        <v>15000</v>
      </c>
      <c r="P12" s="9">
        <v>0</v>
      </c>
      <c r="Q12" s="9">
        <v>0</v>
      </c>
      <c r="R12" s="9">
        <f t="shared" si="2"/>
        <v>100000</v>
      </c>
    </row>
    <row r="13" spans="1:18" x14ac:dyDescent="0.4">
      <c r="A13" s="266"/>
      <c r="B13" s="254"/>
      <c r="C13" s="268"/>
      <c r="D13" s="178" t="s">
        <v>36</v>
      </c>
      <c r="E13" s="182" t="s">
        <v>125</v>
      </c>
      <c r="F13" s="9">
        <v>0</v>
      </c>
      <c r="G13" s="18">
        <v>3000</v>
      </c>
      <c r="H13" s="9">
        <v>5000</v>
      </c>
      <c r="I13" s="9">
        <v>5000</v>
      </c>
      <c r="J13" s="138">
        <v>8000</v>
      </c>
      <c r="K13" s="9">
        <v>0</v>
      </c>
      <c r="L13" s="9">
        <v>0</v>
      </c>
      <c r="M13" s="9">
        <v>5000</v>
      </c>
      <c r="N13" s="9">
        <v>5000</v>
      </c>
      <c r="O13" s="9">
        <v>5000</v>
      </c>
      <c r="P13" s="9">
        <v>0</v>
      </c>
      <c r="Q13" s="9">
        <v>0</v>
      </c>
      <c r="R13" s="9">
        <f t="shared" si="2"/>
        <v>36000</v>
      </c>
    </row>
    <row r="14" spans="1:18" x14ac:dyDescent="0.4">
      <c r="A14" s="266"/>
      <c r="B14" s="254"/>
      <c r="C14" s="268"/>
      <c r="D14" s="178" t="s">
        <v>36</v>
      </c>
      <c r="E14" s="182" t="s">
        <v>126</v>
      </c>
      <c r="F14" s="9">
        <v>0</v>
      </c>
      <c r="G14" s="18">
        <v>3000</v>
      </c>
      <c r="H14" s="9">
        <v>5000</v>
      </c>
      <c r="I14" s="138">
        <v>5400</v>
      </c>
      <c r="J14" s="9">
        <v>5000</v>
      </c>
      <c r="K14" s="9">
        <v>0</v>
      </c>
      <c r="L14" s="9">
        <v>0</v>
      </c>
      <c r="M14" s="9">
        <v>5000</v>
      </c>
      <c r="N14" s="9">
        <v>5000</v>
      </c>
      <c r="O14" s="9">
        <v>5000</v>
      </c>
      <c r="P14" s="9">
        <v>0</v>
      </c>
      <c r="Q14" s="9">
        <v>0</v>
      </c>
      <c r="R14" s="9">
        <f t="shared" si="2"/>
        <v>33400</v>
      </c>
    </row>
    <row r="15" spans="1:18" x14ac:dyDescent="0.4">
      <c r="A15" s="266"/>
      <c r="B15" s="254"/>
      <c r="C15" s="268"/>
      <c r="D15" s="177" t="s">
        <v>37</v>
      </c>
      <c r="E15" s="178" t="s">
        <v>38</v>
      </c>
      <c r="F15" s="9">
        <v>0</v>
      </c>
      <c r="G15" s="9">
        <v>3000</v>
      </c>
      <c r="H15" s="9">
        <v>3000</v>
      </c>
      <c r="I15" s="138">
        <v>0</v>
      </c>
      <c r="J15" s="138">
        <v>0</v>
      </c>
      <c r="K15" s="9">
        <v>0</v>
      </c>
      <c r="L15" s="9">
        <v>0</v>
      </c>
      <c r="M15" s="9">
        <v>3000</v>
      </c>
      <c r="N15" s="9">
        <v>3000</v>
      </c>
      <c r="O15" s="9"/>
      <c r="P15" s="9">
        <v>0</v>
      </c>
      <c r="Q15" s="9">
        <v>0</v>
      </c>
      <c r="R15" s="9">
        <f t="shared" si="2"/>
        <v>12000</v>
      </c>
    </row>
    <row r="16" spans="1:18" x14ac:dyDescent="0.4">
      <c r="A16" s="266"/>
      <c r="B16" s="254"/>
      <c r="C16" s="268"/>
      <c r="D16" s="178" t="s">
        <v>39</v>
      </c>
      <c r="E16" s="178" t="s">
        <v>127</v>
      </c>
      <c r="F16" s="9">
        <v>0</v>
      </c>
      <c r="G16" s="9">
        <v>0</v>
      </c>
      <c r="H16" s="9">
        <v>5000</v>
      </c>
      <c r="I16" s="9">
        <v>0</v>
      </c>
      <c r="J16" s="138">
        <v>0</v>
      </c>
      <c r="K16" s="9">
        <v>0</v>
      </c>
      <c r="L16" s="9">
        <v>0</v>
      </c>
      <c r="M16" s="9">
        <v>5000</v>
      </c>
      <c r="N16" s="9">
        <v>5000</v>
      </c>
      <c r="O16" s="9">
        <v>0</v>
      </c>
      <c r="P16" s="9">
        <v>0</v>
      </c>
      <c r="Q16" s="9">
        <v>0</v>
      </c>
      <c r="R16" s="9">
        <f t="shared" si="2"/>
        <v>15000</v>
      </c>
    </row>
    <row r="17" spans="1:18" x14ac:dyDescent="0.4">
      <c r="A17" s="266"/>
      <c r="B17" s="254"/>
      <c r="C17" s="253" t="s">
        <v>40</v>
      </c>
      <c r="D17" s="176" t="s">
        <v>34</v>
      </c>
      <c r="E17" s="178" t="s">
        <v>128</v>
      </c>
      <c r="F17" s="9">
        <v>0</v>
      </c>
      <c r="G17" s="9">
        <v>2473.3000000000002</v>
      </c>
      <c r="H17" s="9">
        <v>5476.6</v>
      </c>
      <c r="I17" s="9">
        <v>5300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f t="shared" si="2"/>
        <v>13249.900000000001</v>
      </c>
    </row>
    <row r="18" spans="1:18" x14ac:dyDescent="0.4">
      <c r="A18" s="266"/>
      <c r="B18" s="254"/>
      <c r="C18" s="254"/>
      <c r="D18" s="176" t="s">
        <v>34</v>
      </c>
      <c r="E18" s="178" t="s">
        <v>129</v>
      </c>
      <c r="F18" s="9">
        <v>0</v>
      </c>
      <c r="G18" s="9">
        <v>3686.6</v>
      </c>
      <c r="H18" s="9">
        <v>8163.3</v>
      </c>
      <c r="I18" s="138">
        <v>10500</v>
      </c>
      <c r="J18" s="138">
        <v>10850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f t="shared" si="2"/>
        <v>33199.9</v>
      </c>
    </row>
    <row r="19" spans="1:18" x14ac:dyDescent="0.4">
      <c r="A19" s="266"/>
      <c r="B19" s="254"/>
      <c r="C19" s="254"/>
      <c r="D19" s="176" t="s">
        <v>34</v>
      </c>
      <c r="E19" s="178" t="s">
        <v>41</v>
      </c>
      <c r="F19" s="9">
        <v>0</v>
      </c>
      <c r="G19" s="9">
        <v>0</v>
      </c>
      <c r="H19" s="9">
        <v>0</v>
      </c>
      <c r="I19" s="9">
        <v>0</v>
      </c>
      <c r="J19" s="138">
        <v>1030</v>
      </c>
      <c r="K19" s="138">
        <v>1000</v>
      </c>
      <c r="L19" s="9">
        <v>510</v>
      </c>
      <c r="M19" s="9">
        <v>510</v>
      </c>
      <c r="N19" s="9">
        <v>500</v>
      </c>
      <c r="O19" s="9">
        <v>510</v>
      </c>
      <c r="P19" s="9">
        <v>500</v>
      </c>
      <c r="Q19" s="9">
        <v>510</v>
      </c>
      <c r="R19" s="9">
        <f t="shared" si="2"/>
        <v>5070</v>
      </c>
    </row>
    <row r="20" spans="1:18" x14ac:dyDescent="0.4">
      <c r="A20" s="266"/>
      <c r="B20" s="254"/>
      <c r="C20" s="254"/>
      <c r="D20" s="176" t="s">
        <v>34</v>
      </c>
      <c r="E20" s="178" t="s">
        <v>130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138">
        <v>6000</v>
      </c>
      <c r="L20" s="9">
        <v>3720</v>
      </c>
      <c r="M20" s="9">
        <v>3720</v>
      </c>
      <c r="N20" s="9">
        <v>3600</v>
      </c>
      <c r="O20" s="9">
        <v>3720</v>
      </c>
      <c r="P20" s="9">
        <v>3600</v>
      </c>
      <c r="Q20" s="9">
        <v>3720</v>
      </c>
      <c r="R20" s="9">
        <f t="shared" si="2"/>
        <v>28080</v>
      </c>
    </row>
    <row r="21" spans="1:18" x14ac:dyDescent="0.4">
      <c r="A21" s="266"/>
      <c r="B21" s="256" t="s">
        <v>42</v>
      </c>
      <c r="C21" s="257"/>
      <c r="D21" s="257"/>
      <c r="E21" s="258"/>
      <c r="F21" s="13">
        <f t="shared" ref="F21:R21" si="3">SUM(F8:F20)</f>
        <v>0</v>
      </c>
      <c r="G21" s="13">
        <f t="shared" si="3"/>
        <v>60269.9</v>
      </c>
      <c r="H21" s="13">
        <f t="shared" si="3"/>
        <v>99639.900000000009</v>
      </c>
      <c r="I21" s="13">
        <f t="shared" si="3"/>
        <v>79200</v>
      </c>
      <c r="J21" s="13">
        <f>SUM(J8:J20)</f>
        <v>91770</v>
      </c>
      <c r="K21" s="13">
        <f t="shared" si="3"/>
        <v>7000</v>
      </c>
      <c r="L21" s="13">
        <f t="shared" si="3"/>
        <v>4230</v>
      </c>
      <c r="M21" s="13">
        <f t="shared" si="3"/>
        <v>75230</v>
      </c>
      <c r="N21" s="13">
        <f t="shared" si="3"/>
        <v>90100</v>
      </c>
      <c r="O21" s="13">
        <f t="shared" si="3"/>
        <v>67230</v>
      </c>
      <c r="P21" s="13">
        <f t="shared" si="3"/>
        <v>4100</v>
      </c>
      <c r="Q21" s="13">
        <f t="shared" si="3"/>
        <v>4230</v>
      </c>
      <c r="R21" s="13">
        <f t="shared" si="3"/>
        <v>582999.80000000005</v>
      </c>
    </row>
    <row r="22" spans="1:18" hidden="1" x14ac:dyDescent="0.4">
      <c r="A22" s="266"/>
      <c r="B22" s="183" t="s">
        <v>43</v>
      </c>
      <c r="C22" s="183" t="s">
        <v>20</v>
      </c>
      <c r="D22" s="179" t="s">
        <v>43</v>
      </c>
      <c r="E22" s="22" t="s">
        <v>44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" si="4">SUM(F22:Q22)</f>
        <v>0</v>
      </c>
    </row>
    <row r="23" spans="1:18" hidden="1" x14ac:dyDescent="0.4">
      <c r="A23" s="266"/>
      <c r="B23" s="256" t="s">
        <v>45</v>
      </c>
      <c r="C23" s="257"/>
      <c r="D23" s="257"/>
      <c r="E23" s="258"/>
      <c r="F23" s="13">
        <f t="shared" ref="F23:R23" si="5">SUM(F22:F22)</f>
        <v>0</v>
      </c>
      <c r="G23" s="13">
        <f t="shared" si="5"/>
        <v>0</v>
      </c>
      <c r="H23" s="13">
        <f t="shared" si="5"/>
        <v>0</v>
      </c>
      <c r="I23" s="13">
        <f t="shared" si="5"/>
        <v>0</v>
      </c>
      <c r="J23" s="13">
        <f t="shared" si="5"/>
        <v>0</v>
      </c>
      <c r="K23" s="13">
        <f t="shared" si="5"/>
        <v>0</v>
      </c>
      <c r="L23" s="13">
        <f t="shared" si="5"/>
        <v>0</v>
      </c>
      <c r="M23" s="13">
        <f t="shared" si="5"/>
        <v>0</v>
      </c>
      <c r="N23" s="13">
        <f t="shared" si="5"/>
        <v>0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</row>
    <row r="24" spans="1:18" x14ac:dyDescent="0.4">
      <c r="A24" s="266"/>
      <c r="B24" s="269" t="s">
        <v>46</v>
      </c>
      <c r="C24" s="253" t="s">
        <v>20</v>
      </c>
      <c r="D24" s="253" t="s">
        <v>47</v>
      </c>
      <c r="E24" s="135" t="s">
        <v>132</v>
      </c>
      <c r="F24" s="9">
        <v>0</v>
      </c>
      <c r="G24" s="9">
        <v>0</v>
      </c>
      <c r="H24" s="9">
        <v>27800</v>
      </c>
      <c r="I24" s="9">
        <v>30800</v>
      </c>
      <c r="J24" s="9">
        <v>30800</v>
      </c>
      <c r="K24" s="9">
        <v>0</v>
      </c>
      <c r="L24" s="9">
        <v>0</v>
      </c>
      <c r="M24" s="9">
        <v>32750</v>
      </c>
      <c r="N24" s="9">
        <v>32750</v>
      </c>
      <c r="O24" s="9">
        <v>0</v>
      </c>
      <c r="P24" s="9">
        <v>0</v>
      </c>
      <c r="Q24" s="9">
        <v>0</v>
      </c>
      <c r="R24" s="9">
        <f t="shared" ref="R24:R29" si="6">SUM(F24:Q24)</f>
        <v>154900</v>
      </c>
    </row>
    <row r="25" spans="1:18" x14ac:dyDescent="0.4">
      <c r="A25" s="266"/>
      <c r="B25" s="270"/>
      <c r="C25" s="254"/>
      <c r="D25" s="254"/>
      <c r="E25" s="135" t="s">
        <v>134</v>
      </c>
      <c r="F25" s="9"/>
      <c r="G25" s="9"/>
      <c r="H25" s="9">
        <v>4600</v>
      </c>
      <c r="I25" s="9">
        <v>4600</v>
      </c>
      <c r="J25" s="9">
        <v>4600</v>
      </c>
      <c r="K25" s="9">
        <v>4600</v>
      </c>
      <c r="L25" s="9">
        <v>4600</v>
      </c>
      <c r="M25" s="9">
        <v>4600</v>
      </c>
      <c r="N25" s="9">
        <v>4600</v>
      </c>
      <c r="O25" s="9">
        <v>4600</v>
      </c>
      <c r="P25" s="9"/>
      <c r="Q25" s="9"/>
      <c r="R25" s="9">
        <f t="shared" si="6"/>
        <v>36800</v>
      </c>
    </row>
    <row r="26" spans="1:18" x14ac:dyDescent="0.4">
      <c r="A26" s="266"/>
      <c r="B26" s="270"/>
      <c r="C26" s="254"/>
      <c r="D26" s="254"/>
      <c r="E26" s="135" t="s">
        <v>133</v>
      </c>
      <c r="F26" s="9"/>
      <c r="G26" s="9"/>
      <c r="H26" s="9">
        <v>18000</v>
      </c>
      <c r="I26" s="9">
        <v>18000</v>
      </c>
      <c r="J26" s="9">
        <v>18000</v>
      </c>
      <c r="K26" s="9"/>
      <c r="L26" s="9"/>
      <c r="M26" s="9">
        <v>18000</v>
      </c>
      <c r="N26" s="9">
        <v>18000</v>
      </c>
      <c r="O26" s="9"/>
      <c r="P26" s="9"/>
      <c r="Q26" s="9"/>
      <c r="R26" s="9">
        <f t="shared" si="6"/>
        <v>90000</v>
      </c>
    </row>
    <row r="27" spans="1:18" x14ac:dyDescent="0.4">
      <c r="A27" s="266"/>
      <c r="B27" s="270"/>
      <c r="C27" s="255"/>
      <c r="D27" s="255"/>
      <c r="E27" s="22" t="s">
        <v>131</v>
      </c>
      <c r="F27" s="9"/>
      <c r="G27" s="9"/>
      <c r="H27" s="9">
        <v>0</v>
      </c>
      <c r="I27" s="9">
        <v>91100</v>
      </c>
      <c r="J27" s="9"/>
      <c r="K27" s="9"/>
      <c r="L27" s="9"/>
      <c r="M27" s="9"/>
      <c r="N27" s="9"/>
      <c r="O27" s="9"/>
      <c r="P27" s="9"/>
      <c r="Q27" s="9"/>
      <c r="R27" s="9">
        <f t="shared" si="6"/>
        <v>91100</v>
      </c>
    </row>
    <row r="28" spans="1:18" hidden="1" x14ac:dyDescent="0.4">
      <c r="A28" s="266"/>
      <c r="B28" s="270"/>
      <c r="C28" s="253" t="s">
        <v>48</v>
      </c>
      <c r="D28" s="253" t="s">
        <v>48</v>
      </c>
      <c r="E28" s="22" t="s">
        <v>135</v>
      </c>
      <c r="F28" s="9">
        <v>0</v>
      </c>
      <c r="G28" s="9">
        <v>0</v>
      </c>
      <c r="H28" s="138"/>
      <c r="I28" s="9"/>
      <c r="J28" s="9"/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f t="shared" si="6"/>
        <v>0</v>
      </c>
    </row>
    <row r="29" spans="1:18" x14ac:dyDescent="0.4">
      <c r="A29" s="266"/>
      <c r="B29" s="270"/>
      <c r="C29" s="255"/>
      <c r="D29" s="255"/>
      <c r="E29" s="22" t="s">
        <v>138</v>
      </c>
      <c r="F29" s="9">
        <v>0</v>
      </c>
      <c r="G29" s="9">
        <v>0</v>
      </c>
      <c r="H29" s="9">
        <v>85000</v>
      </c>
      <c r="I29" s="9"/>
      <c r="J29" s="9"/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f t="shared" si="6"/>
        <v>85000</v>
      </c>
    </row>
    <row r="30" spans="1:18" x14ac:dyDescent="0.4">
      <c r="A30" s="266"/>
      <c r="B30" s="256" t="s">
        <v>49</v>
      </c>
      <c r="C30" s="257"/>
      <c r="D30" s="257"/>
      <c r="E30" s="258"/>
      <c r="F30" s="13">
        <f>SUM(F24:F29)</f>
        <v>0</v>
      </c>
      <c r="G30" s="13">
        <f>SUM(G24:G29)</f>
        <v>0</v>
      </c>
      <c r="H30" s="13">
        <f t="shared" ref="H30:Q30" si="7">SUM(H24:H29)</f>
        <v>135400</v>
      </c>
      <c r="I30" s="13">
        <f t="shared" si="7"/>
        <v>144500</v>
      </c>
      <c r="J30" s="13">
        <f t="shared" si="7"/>
        <v>53400</v>
      </c>
      <c r="K30" s="13">
        <f t="shared" si="7"/>
        <v>4600</v>
      </c>
      <c r="L30" s="13">
        <f t="shared" si="7"/>
        <v>4600</v>
      </c>
      <c r="M30" s="13">
        <f t="shared" si="7"/>
        <v>55350</v>
      </c>
      <c r="N30" s="13">
        <f t="shared" si="7"/>
        <v>55350</v>
      </c>
      <c r="O30" s="13">
        <f t="shared" si="7"/>
        <v>4600</v>
      </c>
      <c r="P30" s="13">
        <f t="shared" si="7"/>
        <v>0</v>
      </c>
      <c r="Q30" s="13">
        <f t="shared" si="7"/>
        <v>0</v>
      </c>
      <c r="R30" s="13">
        <f>SUM(R24:R29)</f>
        <v>457800</v>
      </c>
    </row>
    <row r="31" spans="1:18" hidden="1" x14ac:dyDescent="0.4">
      <c r="A31" s="266"/>
      <c r="B31" s="183" t="s">
        <v>50</v>
      </c>
      <c r="C31" s="179" t="s">
        <v>20</v>
      </c>
      <c r="D31" s="179" t="s">
        <v>51</v>
      </c>
      <c r="E31" s="22" t="s">
        <v>52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/>
      <c r="O31" s="9">
        <v>0</v>
      </c>
      <c r="P31" s="9">
        <v>0</v>
      </c>
      <c r="Q31" s="9">
        <v>0</v>
      </c>
      <c r="R31" s="9">
        <f>J31</f>
        <v>0</v>
      </c>
    </row>
    <row r="32" spans="1:18" hidden="1" x14ac:dyDescent="0.4">
      <c r="A32" s="267"/>
      <c r="B32" s="256" t="s">
        <v>53</v>
      </c>
      <c r="C32" s="257"/>
      <c r="D32" s="257"/>
      <c r="E32" s="258"/>
      <c r="F32" s="13">
        <f t="shared" ref="F32:R32" si="8">SUM(F31:F31)</f>
        <v>0</v>
      </c>
      <c r="G32" s="13">
        <f t="shared" si="8"/>
        <v>0</v>
      </c>
      <c r="H32" s="13">
        <f t="shared" si="8"/>
        <v>0</v>
      </c>
      <c r="I32" s="13">
        <f t="shared" si="8"/>
        <v>0</v>
      </c>
      <c r="J32" s="13">
        <f t="shared" si="8"/>
        <v>0</v>
      </c>
      <c r="K32" s="13">
        <f t="shared" si="8"/>
        <v>0</v>
      </c>
      <c r="L32" s="13">
        <f t="shared" si="8"/>
        <v>0</v>
      </c>
      <c r="M32" s="13">
        <f t="shared" si="8"/>
        <v>0</v>
      </c>
      <c r="N32" s="13">
        <f t="shared" si="8"/>
        <v>0</v>
      </c>
      <c r="O32" s="13">
        <f t="shared" si="8"/>
        <v>0</v>
      </c>
      <c r="P32" s="13">
        <f t="shared" si="8"/>
        <v>0</v>
      </c>
      <c r="Q32" s="13">
        <f t="shared" si="8"/>
        <v>0</v>
      </c>
      <c r="R32" s="13">
        <f t="shared" si="8"/>
        <v>0</v>
      </c>
    </row>
    <row r="33" spans="1:18" x14ac:dyDescent="0.4">
      <c r="A33" s="259" t="s">
        <v>54</v>
      </c>
      <c r="B33" s="259"/>
      <c r="C33" s="259"/>
      <c r="D33" s="259"/>
      <c r="E33" s="259"/>
      <c r="F33" s="23">
        <f>F7+F21</f>
        <v>0</v>
      </c>
      <c r="G33" s="23">
        <f>G7+G21</f>
        <v>360269.9</v>
      </c>
      <c r="H33" s="23">
        <f>H7+H21+H30+H32</f>
        <v>1035039.9</v>
      </c>
      <c r="I33" s="23">
        <f>I7+I21+I23+I30+I32</f>
        <v>1023700</v>
      </c>
      <c r="J33" s="23">
        <f>J7+J21+J23+J30+J32</f>
        <v>445170</v>
      </c>
      <c r="K33" s="23">
        <f>K7+K21+K30+K32</f>
        <v>11600</v>
      </c>
      <c r="L33" s="23">
        <f>L7+L21+L30+L32</f>
        <v>8830</v>
      </c>
      <c r="M33" s="23">
        <f>M7+M21+M30+M32</f>
        <v>330580</v>
      </c>
      <c r="N33" s="23">
        <f>N7+N21+N30+N32</f>
        <v>445450</v>
      </c>
      <c r="O33" s="23">
        <f>O7+O21+O32</f>
        <v>67230</v>
      </c>
      <c r="P33" s="23">
        <f>P7+P21+P32</f>
        <v>4100</v>
      </c>
      <c r="Q33" s="23">
        <f>Q7+Q21+Q32</f>
        <v>4230</v>
      </c>
      <c r="R33" s="23">
        <f>R7+R21+R23+R30+R32</f>
        <v>3740799.8</v>
      </c>
    </row>
    <row r="34" spans="1:18" hidden="1" x14ac:dyDescent="0.4">
      <c r="A34" s="236" t="s">
        <v>55</v>
      </c>
      <c r="B34" s="238" t="s">
        <v>19</v>
      </c>
      <c r="C34" s="240" t="s">
        <v>55</v>
      </c>
      <c r="D34" s="238" t="s">
        <v>56</v>
      </c>
      <c r="E34" s="178" t="s">
        <v>57</v>
      </c>
      <c r="F34" s="9">
        <v>0</v>
      </c>
      <c r="G34" s="9"/>
      <c r="H34" s="9"/>
      <c r="I34" s="9">
        <v>0</v>
      </c>
      <c r="J34" s="9">
        <v>0</v>
      </c>
      <c r="K34" s="9">
        <v>0</v>
      </c>
      <c r="L34" s="9">
        <v>0</v>
      </c>
      <c r="M34" s="10">
        <v>0</v>
      </c>
      <c r="N34" s="9">
        <v>0</v>
      </c>
      <c r="O34" s="9">
        <v>0</v>
      </c>
      <c r="P34" s="9">
        <v>0</v>
      </c>
      <c r="Q34" s="9"/>
      <c r="R34" s="9">
        <f t="shared" ref="R34:R37" si="9">SUM(F34:Q34)</f>
        <v>0</v>
      </c>
    </row>
    <row r="35" spans="1:18" hidden="1" x14ac:dyDescent="0.4">
      <c r="A35" s="237"/>
      <c r="B35" s="242"/>
      <c r="C35" s="241"/>
      <c r="D35" s="239"/>
      <c r="E35" s="178" t="s">
        <v>58</v>
      </c>
      <c r="F35" s="9"/>
      <c r="G35" s="9"/>
      <c r="H35" s="9"/>
      <c r="I35" s="9"/>
      <c r="J35" s="9"/>
      <c r="K35" s="9"/>
      <c r="L35" s="9"/>
      <c r="M35" s="10"/>
      <c r="N35" s="9"/>
      <c r="O35" s="9"/>
      <c r="P35" s="9"/>
      <c r="Q35" s="9"/>
      <c r="R35" s="9">
        <f t="shared" si="9"/>
        <v>0</v>
      </c>
    </row>
    <row r="36" spans="1:18" x14ac:dyDescent="0.4">
      <c r="A36" s="237"/>
      <c r="B36" s="239"/>
      <c r="C36" s="241"/>
      <c r="D36" s="176" t="s">
        <v>55</v>
      </c>
      <c r="E36" s="178" t="s">
        <v>59</v>
      </c>
      <c r="F36" s="9">
        <v>0</v>
      </c>
      <c r="G36" s="9">
        <v>0</v>
      </c>
      <c r="H36" s="9">
        <f>15000*1.1765</f>
        <v>17647.5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f>SUM(F36:Q36)</f>
        <v>17647.5</v>
      </c>
    </row>
    <row r="37" spans="1:18" ht="17.399999999999999" hidden="1" customHeight="1" x14ac:dyDescent="0.4">
      <c r="A37" s="237"/>
      <c r="B37" s="238" t="s">
        <v>26</v>
      </c>
      <c r="C37" s="242"/>
      <c r="D37" s="238" t="s">
        <v>60</v>
      </c>
      <c r="E37" s="25" t="s">
        <v>61</v>
      </c>
      <c r="F37" s="9">
        <v>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>
        <f t="shared" si="9"/>
        <v>0</v>
      </c>
    </row>
    <row r="38" spans="1:18" x14ac:dyDescent="0.4">
      <c r="A38" s="237"/>
      <c r="B38" s="242"/>
      <c r="C38" s="242"/>
      <c r="D38" s="242"/>
      <c r="E38" s="25" t="s">
        <v>62</v>
      </c>
      <c r="F38" s="9">
        <v>0</v>
      </c>
      <c r="G38" s="9">
        <f>14110*1.1765</f>
        <v>16600.415000000001</v>
      </c>
      <c r="H38" s="9"/>
      <c r="I38" s="9"/>
      <c r="J38" s="9"/>
      <c r="K38" s="9"/>
      <c r="L38" s="9">
        <v>0</v>
      </c>
      <c r="M38" s="9">
        <v>0</v>
      </c>
      <c r="N38" s="9">
        <f>5215*1.1765+1</f>
        <v>6136.4475000000002</v>
      </c>
      <c r="O38" s="9">
        <f>20000*1.1765</f>
        <v>23530.000000000004</v>
      </c>
      <c r="P38" s="9">
        <v>0</v>
      </c>
      <c r="Q38" s="9">
        <v>0</v>
      </c>
      <c r="R38" s="9">
        <f>SUM(F38:Q38)</f>
        <v>46266.862500000003</v>
      </c>
    </row>
    <row r="39" spans="1:18" x14ac:dyDescent="0.4">
      <c r="A39" s="237"/>
      <c r="B39" s="242"/>
      <c r="C39" s="242"/>
      <c r="D39" s="239"/>
      <c r="E39" s="25" t="s">
        <v>122</v>
      </c>
      <c r="F39" s="9"/>
      <c r="G39" s="9"/>
      <c r="H39" s="9"/>
      <c r="I39" s="9"/>
      <c r="J39" s="9"/>
      <c r="K39" s="9"/>
      <c r="L39" s="9"/>
      <c r="M39" s="9">
        <f>40000*1.1765</f>
        <v>47060.000000000007</v>
      </c>
      <c r="N39" s="9"/>
      <c r="O39" s="9"/>
      <c r="P39" s="9"/>
      <c r="Q39" s="9">
        <v>0</v>
      </c>
      <c r="R39" s="9">
        <f t="shared" ref="R39:R52" si="10">SUM(F39:Q39)</f>
        <v>47060.000000000007</v>
      </c>
    </row>
    <row r="40" spans="1:18" ht="17.399999999999999" hidden="1" customHeight="1" x14ac:dyDescent="0.4">
      <c r="A40" s="237"/>
      <c r="B40" s="242"/>
      <c r="C40" s="242"/>
      <c r="D40" s="178" t="s">
        <v>63</v>
      </c>
      <c r="E40" s="25" t="s">
        <v>64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>
        <v>0</v>
      </c>
      <c r="R40" s="9">
        <f t="shared" si="10"/>
        <v>0</v>
      </c>
    </row>
    <row r="41" spans="1:18" ht="17.399999999999999" hidden="1" customHeight="1" x14ac:dyDescent="0.4">
      <c r="A41" s="237"/>
      <c r="B41" s="242"/>
      <c r="C41" s="242"/>
      <c r="D41" s="178" t="s">
        <v>65</v>
      </c>
      <c r="E41" s="25" t="s">
        <v>66</v>
      </c>
      <c r="F41" s="9"/>
      <c r="G41" s="9"/>
      <c r="H41" s="9"/>
      <c r="I41" s="9"/>
      <c r="J41" s="9"/>
      <c r="K41" s="9"/>
      <c r="L41" s="9"/>
      <c r="M41" s="9"/>
      <c r="N41" s="9"/>
      <c r="O41" s="26"/>
      <c r="P41" s="9"/>
      <c r="Q41" s="9">
        <v>0</v>
      </c>
      <c r="R41" s="9">
        <f t="shared" si="10"/>
        <v>0</v>
      </c>
    </row>
    <row r="42" spans="1:18" x14ac:dyDescent="0.4">
      <c r="A42" s="237"/>
      <c r="B42" s="242"/>
      <c r="C42" s="242"/>
      <c r="D42" s="178" t="s">
        <v>65</v>
      </c>
      <c r="E42" s="25" t="s">
        <v>67</v>
      </c>
      <c r="F42" s="9">
        <v>0</v>
      </c>
      <c r="G42" s="9">
        <f>1550*1.1765</f>
        <v>1823.575</v>
      </c>
      <c r="H42" s="9"/>
      <c r="I42" s="9"/>
      <c r="J42" s="138">
        <v>2823.6</v>
      </c>
      <c r="K42" s="9"/>
      <c r="L42" s="9"/>
      <c r="M42" s="9">
        <v>0</v>
      </c>
      <c r="N42" s="9">
        <f>5000*1.1765</f>
        <v>5882.5000000000009</v>
      </c>
      <c r="O42" s="9">
        <v>0</v>
      </c>
      <c r="P42" s="9">
        <v>0</v>
      </c>
      <c r="Q42" s="9">
        <v>0</v>
      </c>
      <c r="R42" s="9">
        <f t="shared" si="10"/>
        <v>10529.675000000001</v>
      </c>
    </row>
    <row r="43" spans="1:18" x14ac:dyDescent="0.4">
      <c r="A43" s="237"/>
      <c r="B43" s="242"/>
      <c r="C43" s="242"/>
      <c r="D43" s="238" t="s">
        <v>55</v>
      </c>
      <c r="E43" s="25" t="s">
        <v>137</v>
      </c>
      <c r="F43" s="9">
        <v>0</v>
      </c>
      <c r="G43" s="9">
        <v>0</v>
      </c>
      <c r="H43" s="9">
        <f>47000*1.1765</f>
        <v>55295.500000000007</v>
      </c>
      <c r="I43" s="9"/>
      <c r="J43" s="9"/>
      <c r="K43" s="9"/>
      <c r="L43" s="9"/>
      <c r="M43" s="9"/>
      <c r="N43" s="9"/>
      <c r="O43" s="9">
        <v>0</v>
      </c>
      <c r="P43" s="9">
        <v>0</v>
      </c>
      <c r="Q43" s="9">
        <v>0</v>
      </c>
      <c r="R43" s="9">
        <f t="shared" si="10"/>
        <v>55295.500000000007</v>
      </c>
    </row>
    <row r="44" spans="1:18" hidden="1" x14ac:dyDescent="0.4">
      <c r="A44" s="237"/>
      <c r="B44" s="242"/>
      <c r="C44" s="242"/>
      <c r="D44" s="239"/>
      <c r="E44" s="25" t="s">
        <v>122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>
        <f t="shared" si="10"/>
        <v>0</v>
      </c>
    </row>
    <row r="45" spans="1:18" x14ac:dyDescent="0.4">
      <c r="A45" s="237"/>
      <c r="B45" s="239"/>
      <c r="C45" s="242"/>
      <c r="D45" s="178" t="s">
        <v>68</v>
      </c>
      <c r="E45" s="25" t="s">
        <v>69</v>
      </c>
      <c r="F45" s="9">
        <v>0</v>
      </c>
      <c r="G45" s="169">
        <v>1172</v>
      </c>
      <c r="H45" s="9">
        <f>(2000*1.1765)+220</f>
        <v>2573</v>
      </c>
      <c r="I45" s="9">
        <v>0</v>
      </c>
      <c r="J45" s="9"/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f t="shared" si="10"/>
        <v>3745</v>
      </c>
    </row>
    <row r="46" spans="1:18" hidden="1" x14ac:dyDescent="0.4">
      <c r="A46" s="237"/>
      <c r="B46" s="177" t="s">
        <v>43</v>
      </c>
      <c r="C46" s="242"/>
      <c r="D46" s="178" t="s">
        <v>65</v>
      </c>
      <c r="E46" s="25" t="s">
        <v>70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>
        <v>0</v>
      </c>
      <c r="R46" s="9">
        <f t="shared" si="10"/>
        <v>0</v>
      </c>
    </row>
    <row r="47" spans="1:18" x14ac:dyDescent="0.4">
      <c r="A47" s="237"/>
      <c r="B47" s="238" t="s">
        <v>71</v>
      </c>
      <c r="C47" s="242"/>
      <c r="D47" s="178" t="s">
        <v>65</v>
      </c>
      <c r="E47" s="25" t="s">
        <v>142</v>
      </c>
      <c r="F47" s="9">
        <v>0</v>
      </c>
      <c r="G47" s="9">
        <f>1800*1.1765</f>
        <v>2117.7000000000003</v>
      </c>
      <c r="H47" s="9">
        <v>0</v>
      </c>
      <c r="I47" s="9"/>
      <c r="J47" s="9"/>
      <c r="K47" s="138">
        <v>634</v>
      </c>
      <c r="L47" s="9"/>
      <c r="M47" s="9"/>
      <c r="N47" s="9">
        <f>3000*1.1765</f>
        <v>3529.5000000000005</v>
      </c>
      <c r="O47" s="9">
        <f>6590*1.1765-3</f>
        <v>7750.1350000000002</v>
      </c>
      <c r="P47" s="9">
        <v>0</v>
      </c>
      <c r="Q47" s="9">
        <v>0</v>
      </c>
      <c r="R47" s="9">
        <f t="shared" si="10"/>
        <v>14031.335000000001</v>
      </c>
    </row>
    <row r="48" spans="1:18" x14ac:dyDescent="0.4">
      <c r="A48" s="237"/>
      <c r="B48" s="239"/>
      <c r="C48" s="242"/>
      <c r="D48" s="178" t="s">
        <v>141</v>
      </c>
      <c r="E48" s="25" t="s">
        <v>143</v>
      </c>
      <c r="F48" s="9">
        <v>0</v>
      </c>
      <c r="G48" s="9"/>
      <c r="H48" s="9">
        <v>5360</v>
      </c>
      <c r="I48" s="9">
        <v>8400</v>
      </c>
      <c r="J48" s="9"/>
      <c r="K48" s="9"/>
      <c r="L48" s="9"/>
      <c r="M48" s="9">
        <f>5000</f>
        <v>5000</v>
      </c>
      <c r="N48" s="9"/>
      <c r="O48" s="9"/>
      <c r="P48" s="9">
        <v>0</v>
      </c>
      <c r="Q48" s="9">
        <v>0</v>
      </c>
      <c r="R48" s="9">
        <f>SUM(F48:Q48)</f>
        <v>18760</v>
      </c>
    </row>
    <row r="49" spans="1:18" x14ac:dyDescent="0.4">
      <c r="A49" s="237"/>
      <c r="B49" s="238" t="s">
        <v>72</v>
      </c>
      <c r="C49" s="242"/>
      <c r="D49" s="27" t="s">
        <v>73</v>
      </c>
      <c r="E49" s="178" t="s">
        <v>74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9">
        <v>0</v>
      </c>
      <c r="Q49" s="15">
        <f>24000*1.1765</f>
        <v>28236.000000000004</v>
      </c>
      <c r="R49" s="9">
        <f t="shared" si="10"/>
        <v>28236.000000000004</v>
      </c>
    </row>
    <row r="50" spans="1:18" x14ac:dyDescent="0.4">
      <c r="A50" s="237"/>
      <c r="B50" s="242"/>
      <c r="C50" s="242"/>
      <c r="D50" s="240" t="s">
        <v>75</v>
      </c>
      <c r="E50" s="178" t="s">
        <v>136</v>
      </c>
      <c r="F50" s="9">
        <v>0</v>
      </c>
      <c r="G50" s="9">
        <v>0</v>
      </c>
      <c r="H50" s="9">
        <v>6420</v>
      </c>
      <c r="I50" s="9">
        <v>0</v>
      </c>
      <c r="J50" s="138">
        <v>1980</v>
      </c>
      <c r="K50" s="15">
        <v>0</v>
      </c>
      <c r="L50" s="15">
        <v>0</v>
      </c>
      <c r="M50" s="15">
        <v>0</v>
      </c>
      <c r="N50" s="15">
        <v>0</v>
      </c>
      <c r="O50" s="9">
        <v>0</v>
      </c>
      <c r="P50" s="9">
        <f>80*60</f>
        <v>4800</v>
      </c>
      <c r="Q50" s="9">
        <f>60*60</f>
        <v>3600</v>
      </c>
      <c r="R50" s="9">
        <f t="shared" si="10"/>
        <v>16800</v>
      </c>
    </row>
    <row r="51" spans="1:18" x14ac:dyDescent="0.4">
      <c r="A51" s="237"/>
      <c r="B51" s="242"/>
      <c r="C51" s="242"/>
      <c r="D51" s="241"/>
      <c r="E51" s="178" t="s">
        <v>76</v>
      </c>
      <c r="F51" s="9">
        <v>0</v>
      </c>
      <c r="G51" s="9">
        <v>360</v>
      </c>
      <c r="H51" s="9">
        <v>0</v>
      </c>
      <c r="I51" s="9">
        <v>0</v>
      </c>
      <c r="J51" s="9">
        <v>0</v>
      </c>
      <c r="K51" s="15">
        <v>0</v>
      </c>
      <c r="L51" s="15"/>
      <c r="M51" s="15">
        <v>0</v>
      </c>
      <c r="N51" s="15">
        <v>0</v>
      </c>
      <c r="O51" s="9">
        <v>0</v>
      </c>
      <c r="P51" s="9">
        <v>0</v>
      </c>
      <c r="Q51" s="9">
        <v>0</v>
      </c>
      <c r="R51" s="9">
        <f t="shared" si="10"/>
        <v>360</v>
      </c>
    </row>
    <row r="52" spans="1:18" hidden="1" x14ac:dyDescent="0.4">
      <c r="A52" s="260"/>
      <c r="B52" s="239"/>
      <c r="C52" s="239"/>
      <c r="D52" s="244"/>
      <c r="E52" s="178" t="s">
        <v>77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15">
        <v>0</v>
      </c>
      <c r="L52" s="15"/>
      <c r="M52" s="15">
        <v>0</v>
      </c>
      <c r="N52" s="15">
        <v>0</v>
      </c>
      <c r="O52" s="9">
        <v>0</v>
      </c>
      <c r="P52" s="9">
        <v>0</v>
      </c>
      <c r="Q52" s="9">
        <v>0</v>
      </c>
      <c r="R52" s="9">
        <f t="shared" si="10"/>
        <v>0</v>
      </c>
    </row>
    <row r="53" spans="1:18" x14ac:dyDescent="0.4">
      <c r="A53" s="245" t="s">
        <v>78</v>
      </c>
      <c r="B53" s="245"/>
      <c r="C53" s="245"/>
      <c r="D53" s="245"/>
      <c r="E53" s="245"/>
      <c r="F53" s="28">
        <f>SUM(F34:F49)</f>
        <v>0</v>
      </c>
      <c r="G53" s="28">
        <f t="shared" ref="G53:R53" si="11">SUM(G34:G52)</f>
        <v>22073.690000000002</v>
      </c>
      <c r="H53" s="28">
        <f t="shared" si="11"/>
        <v>87296</v>
      </c>
      <c r="I53" s="28">
        <f t="shared" si="11"/>
        <v>8400</v>
      </c>
      <c r="J53" s="28">
        <f t="shared" si="11"/>
        <v>4803.6000000000004</v>
      </c>
      <c r="K53" s="28">
        <f t="shared" si="11"/>
        <v>634</v>
      </c>
      <c r="L53" s="28">
        <f t="shared" si="11"/>
        <v>0</v>
      </c>
      <c r="M53" s="28">
        <f t="shared" si="11"/>
        <v>52060.000000000007</v>
      </c>
      <c r="N53" s="29">
        <f t="shared" si="11"/>
        <v>15548.447500000002</v>
      </c>
      <c r="O53" s="28">
        <f t="shared" si="11"/>
        <v>31280.135000000002</v>
      </c>
      <c r="P53" s="28">
        <f t="shared" si="11"/>
        <v>4800</v>
      </c>
      <c r="Q53" s="28">
        <f t="shared" si="11"/>
        <v>31836.000000000004</v>
      </c>
      <c r="R53" s="30">
        <f t="shared" si="11"/>
        <v>258731.87250000003</v>
      </c>
    </row>
    <row r="54" spans="1:18" x14ac:dyDescent="0.4">
      <c r="A54" s="246" t="s">
        <v>79</v>
      </c>
      <c r="B54" s="246"/>
      <c r="C54" s="246"/>
      <c r="D54" s="246"/>
      <c r="E54" s="246"/>
      <c r="F54" s="31">
        <f>SUM(F33,F53)</f>
        <v>0</v>
      </c>
      <c r="G54" s="31">
        <f t="shared" ref="G54:O54" si="12">G33+G53</f>
        <v>382343.59</v>
      </c>
      <c r="H54" s="31">
        <f t="shared" si="12"/>
        <v>1122335.8999999999</v>
      </c>
      <c r="I54" s="31">
        <f t="shared" si="12"/>
        <v>1032100</v>
      </c>
      <c r="J54" s="31">
        <f t="shared" si="12"/>
        <v>449973.6</v>
      </c>
      <c r="K54" s="31">
        <f t="shared" si="12"/>
        <v>12234</v>
      </c>
      <c r="L54" s="31">
        <f t="shared" si="12"/>
        <v>8830</v>
      </c>
      <c r="M54" s="31">
        <f t="shared" si="12"/>
        <v>382640</v>
      </c>
      <c r="N54" s="31">
        <f t="shared" si="12"/>
        <v>460998.44750000001</v>
      </c>
      <c r="O54" s="31">
        <f t="shared" si="12"/>
        <v>98510.135000000009</v>
      </c>
      <c r="P54" s="31">
        <f>SUM(P33,P53)</f>
        <v>8900</v>
      </c>
      <c r="Q54" s="31">
        <f>SUM(Q33,Q53)</f>
        <v>36066</v>
      </c>
      <c r="R54" s="31">
        <f>R33+R53</f>
        <v>3999531.6724999999</v>
      </c>
    </row>
    <row r="55" spans="1:18" x14ac:dyDescent="0.4">
      <c r="A55" s="234" t="s">
        <v>80</v>
      </c>
      <c r="B55" s="234"/>
      <c r="C55" s="234"/>
      <c r="D55" s="234"/>
      <c r="E55" s="234"/>
      <c r="F55" s="32">
        <f>F33+F53</f>
        <v>0</v>
      </c>
      <c r="G55" s="32">
        <f>G33+G53</f>
        <v>382343.59</v>
      </c>
      <c r="H55" s="32">
        <f>SUM(H54:H54)</f>
        <v>1122335.8999999999</v>
      </c>
      <c r="I55" s="32">
        <f>SUM(I54:I54)</f>
        <v>1032100</v>
      </c>
      <c r="J55" s="32">
        <f t="shared" ref="J55:Q55" si="13">SUM(J54:J54)</f>
        <v>449973.6</v>
      </c>
      <c r="K55" s="32">
        <f t="shared" si="13"/>
        <v>12234</v>
      </c>
      <c r="L55" s="32">
        <f t="shared" si="13"/>
        <v>8830</v>
      </c>
      <c r="M55" s="32">
        <f t="shared" si="13"/>
        <v>382640</v>
      </c>
      <c r="N55" s="32">
        <f t="shared" si="13"/>
        <v>460998.44750000001</v>
      </c>
      <c r="O55" s="32">
        <f t="shared" si="13"/>
        <v>98510.135000000009</v>
      </c>
      <c r="P55" s="32">
        <f t="shared" si="13"/>
        <v>8900</v>
      </c>
      <c r="Q55" s="32">
        <f t="shared" si="13"/>
        <v>36066</v>
      </c>
      <c r="R55" s="32">
        <f>R33+R53</f>
        <v>3999531.6724999999</v>
      </c>
    </row>
    <row r="56" spans="1:18" ht="69" customHeight="1" x14ac:dyDescent="0.4">
      <c r="A56" s="235" t="s">
        <v>81</v>
      </c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</row>
    <row r="57" spans="1:18" x14ac:dyDescent="0.4"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1:18" x14ac:dyDescent="0.4">
      <c r="A58" s="136" t="s">
        <v>82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</row>
    <row r="59" spans="1:18" hidden="1" x14ac:dyDescent="0.4">
      <c r="A59" s="236" t="s">
        <v>55</v>
      </c>
      <c r="B59" s="238" t="s">
        <v>19</v>
      </c>
      <c r="C59" s="240" t="s">
        <v>55</v>
      </c>
      <c r="D59" s="178" t="s">
        <v>56</v>
      </c>
      <c r="E59" s="178" t="s">
        <v>57</v>
      </c>
      <c r="F59" s="9">
        <v>0</v>
      </c>
      <c r="G59" s="15">
        <v>0</v>
      </c>
      <c r="H59" s="9"/>
      <c r="I59" s="9">
        <v>0</v>
      </c>
      <c r="J59" s="9">
        <v>0</v>
      </c>
      <c r="K59" s="9">
        <v>0</v>
      </c>
      <c r="L59" s="9">
        <v>0</v>
      </c>
      <c r="M59" s="15">
        <v>0</v>
      </c>
      <c r="N59" s="9">
        <v>0</v>
      </c>
      <c r="O59" s="9">
        <v>0</v>
      </c>
      <c r="P59" s="9">
        <v>0</v>
      </c>
      <c r="Q59" s="9"/>
      <c r="R59" s="9">
        <f t="shared" ref="R59:R61" si="14">SUM(F59:Q59)</f>
        <v>0</v>
      </c>
    </row>
    <row r="60" spans="1:18" x14ac:dyDescent="0.4">
      <c r="A60" s="237"/>
      <c r="B60" s="239"/>
      <c r="C60" s="241"/>
      <c r="D60" s="178" t="s">
        <v>55</v>
      </c>
      <c r="E60" s="178" t="s">
        <v>59</v>
      </c>
      <c r="F60" s="9"/>
      <c r="G60" s="15"/>
      <c r="H60" s="9">
        <f>15000</f>
        <v>15000</v>
      </c>
      <c r="I60" s="9"/>
      <c r="J60" s="9"/>
      <c r="K60" s="9"/>
      <c r="L60" s="9"/>
      <c r="M60" s="15"/>
      <c r="N60" s="9"/>
      <c r="O60" s="9"/>
      <c r="P60" s="9"/>
      <c r="Q60" s="9"/>
      <c r="R60" s="9">
        <f t="shared" si="14"/>
        <v>15000</v>
      </c>
    </row>
    <row r="61" spans="1:18" ht="17.399999999999999" hidden="1" customHeight="1" x14ac:dyDescent="0.4">
      <c r="A61" s="237"/>
      <c r="B61" s="243" t="s">
        <v>26</v>
      </c>
      <c r="C61" s="242"/>
      <c r="D61" s="238" t="s">
        <v>60</v>
      </c>
      <c r="E61" s="25" t="s">
        <v>61</v>
      </c>
      <c r="F61" s="9"/>
      <c r="G61" s="15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f t="shared" si="14"/>
        <v>0</v>
      </c>
    </row>
    <row r="62" spans="1:18" x14ac:dyDescent="0.4">
      <c r="A62" s="237"/>
      <c r="B62" s="243"/>
      <c r="C62" s="242"/>
      <c r="D62" s="242"/>
      <c r="E62" s="25" t="s">
        <v>83</v>
      </c>
      <c r="F62" s="9">
        <v>0</v>
      </c>
      <c r="G62" s="9">
        <v>14110</v>
      </c>
      <c r="H62" s="9"/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5215</v>
      </c>
      <c r="O62" s="9">
        <v>20000</v>
      </c>
      <c r="P62" s="9">
        <v>0</v>
      </c>
      <c r="Q62" s="9">
        <v>0</v>
      </c>
      <c r="R62" s="9">
        <f>SUM(F62:Q62)</f>
        <v>39325</v>
      </c>
    </row>
    <row r="63" spans="1:18" x14ac:dyDescent="0.4">
      <c r="A63" s="237"/>
      <c r="B63" s="243"/>
      <c r="C63" s="242"/>
      <c r="D63" s="239"/>
      <c r="E63" s="25" t="s">
        <v>122</v>
      </c>
      <c r="F63" s="9"/>
      <c r="G63" s="9"/>
      <c r="H63" s="9"/>
      <c r="I63" s="9"/>
      <c r="J63" s="9"/>
      <c r="K63" s="9"/>
      <c r="L63" s="9"/>
      <c r="M63" s="9">
        <v>40000</v>
      </c>
      <c r="N63" s="9"/>
      <c r="O63" s="9"/>
      <c r="P63" s="9"/>
      <c r="Q63" s="9"/>
      <c r="R63" s="9">
        <f>SUM(F63:Q63)</f>
        <v>40000</v>
      </c>
    </row>
    <row r="64" spans="1:18" hidden="1" x14ac:dyDescent="0.4">
      <c r="A64" s="237"/>
      <c r="B64" s="243"/>
      <c r="C64" s="242"/>
      <c r="D64" s="178" t="s">
        <v>63</v>
      </c>
      <c r="E64" s="25" t="s">
        <v>64</v>
      </c>
      <c r="F64" s="9">
        <v>0</v>
      </c>
      <c r="G64" s="9"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>
        <f t="shared" ref="R64:R76" si="15">SUM(F64:Q64)</f>
        <v>0</v>
      </c>
    </row>
    <row r="65" spans="1:18" hidden="1" x14ac:dyDescent="0.4">
      <c r="A65" s="237"/>
      <c r="B65" s="243"/>
      <c r="C65" s="242"/>
      <c r="D65" s="178" t="s">
        <v>65</v>
      </c>
      <c r="E65" s="25" t="s">
        <v>66</v>
      </c>
      <c r="F65" s="9"/>
      <c r="G65" s="9"/>
      <c r="H65" s="9"/>
      <c r="I65" s="9"/>
      <c r="J65" s="9"/>
      <c r="K65" s="9"/>
      <c r="L65" s="9"/>
      <c r="M65" s="9"/>
      <c r="N65" s="9"/>
      <c r="O65" s="26"/>
      <c r="P65" s="9"/>
      <c r="Q65" s="9"/>
      <c r="R65" s="9">
        <f t="shared" si="15"/>
        <v>0</v>
      </c>
    </row>
    <row r="66" spans="1:18" x14ac:dyDescent="0.4">
      <c r="A66" s="237"/>
      <c r="B66" s="243"/>
      <c r="C66" s="242"/>
      <c r="D66" s="178" t="s">
        <v>65</v>
      </c>
      <c r="E66" s="25" t="s">
        <v>67</v>
      </c>
      <c r="F66" s="9">
        <v>0</v>
      </c>
      <c r="G66" s="9">
        <v>1550</v>
      </c>
      <c r="H66" s="9"/>
      <c r="I66" s="9"/>
      <c r="J66" s="9">
        <f>4899+4+16</f>
        <v>4919</v>
      </c>
      <c r="K66" s="9"/>
      <c r="L66" s="9"/>
      <c r="M66" s="9">
        <v>0</v>
      </c>
      <c r="N66" s="9">
        <f>5000</f>
        <v>5000</v>
      </c>
      <c r="O66" s="9">
        <v>0</v>
      </c>
      <c r="P66" s="9">
        <v>0</v>
      </c>
      <c r="Q66" s="9"/>
      <c r="R66" s="9">
        <f>SUM(F66:Q66)</f>
        <v>11469</v>
      </c>
    </row>
    <row r="67" spans="1:18" x14ac:dyDescent="0.4">
      <c r="A67" s="237"/>
      <c r="B67" s="243"/>
      <c r="C67" s="242"/>
      <c r="D67" s="238" t="s">
        <v>55</v>
      </c>
      <c r="E67" s="25" t="s">
        <v>137</v>
      </c>
      <c r="F67" s="9">
        <v>0</v>
      </c>
      <c r="G67" s="9">
        <v>0</v>
      </c>
      <c r="H67" s="9">
        <v>47000</v>
      </c>
      <c r="I67" s="9"/>
      <c r="J67" s="9"/>
      <c r="K67" s="9"/>
      <c r="L67" s="9"/>
      <c r="M67" s="9">
        <v>0</v>
      </c>
      <c r="N67" s="9"/>
      <c r="O67" s="9">
        <v>0</v>
      </c>
      <c r="P67" s="9">
        <v>0</v>
      </c>
      <c r="Q67" s="9"/>
      <c r="R67" s="9">
        <f>SUM(F67:Q67)</f>
        <v>47000</v>
      </c>
    </row>
    <row r="68" spans="1:18" hidden="1" x14ac:dyDescent="0.4">
      <c r="A68" s="237"/>
      <c r="B68" s="243"/>
      <c r="C68" s="242"/>
      <c r="D68" s="239"/>
      <c r="E68" s="25" t="s">
        <v>139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>
        <f>SUM(F68:Q68)</f>
        <v>0</v>
      </c>
    </row>
    <row r="69" spans="1:18" x14ac:dyDescent="0.4">
      <c r="A69" s="237"/>
      <c r="B69" s="243"/>
      <c r="C69" s="242"/>
      <c r="D69" s="178" t="s">
        <v>68</v>
      </c>
      <c r="E69" s="25" t="s">
        <v>69</v>
      </c>
      <c r="F69" s="15">
        <v>0</v>
      </c>
      <c r="G69" s="169">
        <v>1172</v>
      </c>
      <c r="H69" s="9">
        <v>2220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f>SUM(F69:Q69)</f>
        <v>3392</v>
      </c>
    </row>
    <row r="70" spans="1:18" hidden="1" x14ac:dyDescent="0.4">
      <c r="A70" s="237"/>
      <c r="B70" s="177" t="s">
        <v>43</v>
      </c>
      <c r="C70" s="242"/>
      <c r="D70" s="178" t="s">
        <v>65</v>
      </c>
      <c r="E70" s="25" t="s">
        <v>70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>
        <f t="shared" si="15"/>
        <v>0</v>
      </c>
    </row>
    <row r="71" spans="1:18" x14ac:dyDescent="0.4">
      <c r="A71" s="237"/>
      <c r="B71" s="238" t="s">
        <v>71</v>
      </c>
      <c r="C71" s="242"/>
      <c r="D71" s="178" t="s">
        <v>65</v>
      </c>
      <c r="E71" s="25" t="s">
        <v>142</v>
      </c>
      <c r="F71" s="9">
        <v>0</v>
      </c>
      <c r="G71" s="9">
        <v>1800</v>
      </c>
      <c r="H71" s="9">
        <v>0</v>
      </c>
      <c r="I71" s="9"/>
      <c r="J71" s="9"/>
      <c r="K71" s="9"/>
      <c r="L71" s="9"/>
      <c r="M71" s="9"/>
      <c r="N71" s="9">
        <v>3000</v>
      </c>
      <c r="O71" s="9">
        <f>6590-3</f>
        <v>6587</v>
      </c>
      <c r="P71" s="9"/>
      <c r="Q71" s="9">
        <v>0</v>
      </c>
      <c r="R71" s="9">
        <f t="shared" si="15"/>
        <v>11387</v>
      </c>
    </row>
    <row r="72" spans="1:18" x14ac:dyDescent="0.4">
      <c r="A72" s="237"/>
      <c r="B72" s="239"/>
      <c r="C72" s="242"/>
      <c r="D72" s="178" t="s">
        <v>141</v>
      </c>
      <c r="E72" s="25" t="s">
        <v>143</v>
      </c>
      <c r="F72" s="9">
        <v>0</v>
      </c>
      <c r="G72" s="9"/>
      <c r="H72" s="9">
        <v>5360</v>
      </c>
      <c r="I72" s="9">
        <v>8400</v>
      </c>
      <c r="J72" s="9"/>
      <c r="K72" s="9"/>
      <c r="L72" s="9"/>
      <c r="M72" s="9">
        <f>5000</f>
        <v>5000</v>
      </c>
      <c r="N72" s="9"/>
      <c r="O72" s="9"/>
      <c r="P72" s="9"/>
      <c r="Q72" s="9">
        <v>0</v>
      </c>
      <c r="R72" s="9">
        <f t="shared" si="15"/>
        <v>18760</v>
      </c>
    </row>
    <row r="73" spans="1:18" x14ac:dyDescent="0.4">
      <c r="A73" s="237"/>
      <c r="B73" s="238" t="s">
        <v>72</v>
      </c>
      <c r="C73" s="242"/>
      <c r="D73" s="27" t="s">
        <v>73</v>
      </c>
      <c r="E73" s="178" t="s">
        <v>74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24000</v>
      </c>
      <c r="R73" s="9">
        <f t="shared" si="15"/>
        <v>24000</v>
      </c>
    </row>
    <row r="74" spans="1:18" x14ac:dyDescent="0.4">
      <c r="A74" s="237"/>
      <c r="B74" s="242"/>
      <c r="C74" s="242"/>
      <c r="D74" s="240" t="s">
        <v>75</v>
      </c>
      <c r="E74" s="178" t="s">
        <v>123</v>
      </c>
      <c r="F74" s="9">
        <v>0</v>
      </c>
      <c r="G74" s="9">
        <v>0</v>
      </c>
      <c r="H74" s="9">
        <v>6420</v>
      </c>
      <c r="I74" s="9">
        <v>0</v>
      </c>
      <c r="J74" s="9"/>
      <c r="K74" s="15">
        <v>0</v>
      </c>
      <c r="L74" s="15">
        <v>0</v>
      </c>
      <c r="M74" s="15">
        <v>0</v>
      </c>
      <c r="N74" s="15">
        <v>0</v>
      </c>
      <c r="O74" s="9">
        <v>0</v>
      </c>
      <c r="P74" s="9">
        <f>80*60</f>
        <v>4800</v>
      </c>
      <c r="Q74" s="9">
        <f>60*60</f>
        <v>3600</v>
      </c>
      <c r="R74" s="9">
        <f t="shared" si="15"/>
        <v>14820</v>
      </c>
    </row>
    <row r="75" spans="1:18" x14ac:dyDescent="0.4">
      <c r="A75" s="237"/>
      <c r="B75" s="242"/>
      <c r="C75" s="242"/>
      <c r="D75" s="241"/>
      <c r="E75" s="178" t="s">
        <v>76</v>
      </c>
      <c r="F75" s="9">
        <v>0</v>
      </c>
      <c r="G75" s="9">
        <v>360</v>
      </c>
      <c r="H75" s="9">
        <v>0</v>
      </c>
      <c r="I75" s="9">
        <v>0</v>
      </c>
      <c r="J75" s="9">
        <v>0</v>
      </c>
      <c r="K75" s="15">
        <v>0</v>
      </c>
      <c r="L75" s="15">
        <v>0</v>
      </c>
      <c r="M75" s="15">
        <v>0</v>
      </c>
      <c r="N75" s="15">
        <v>0</v>
      </c>
      <c r="O75" s="9">
        <v>0</v>
      </c>
      <c r="P75" s="9">
        <v>0</v>
      </c>
      <c r="Q75" s="9">
        <v>0</v>
      </c>
      <c r="R75" s="9">
        <f t="shared" si="15"/>
        <v>360</v>
      </c>
    </row>
    <row r="76" spans="1:18" hidden="1" x14ac:dyDescent="0.4">
      <c r="A76" s="237"/>
      <c r="B76" s="239"/>
      <c r="C76" s="239"/>
      <c r="D76" s="244"/>
      <c r="E76" s="178" t="s">
        <v>77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15">
        <v>0</v>
      </c>
      <c r="L76" s="15">
        <v>0</v>
      </c>
      <c r="M76" s="15">
        <v>0</v>
      </c>
      <c r="N76" s="15">
        <v>0</v>
      </c>
      <c r="O76" s="9">
        <v>0</v>
      </c>
      <c r="P76" s="9">
        <v>0</v>
      </c>
      <c r="Q76" s="9">
        <v>0</v>
      </c>
      <c r="R76" s="9">
        <f t="shared" si="15"/>
        <v>0</v>
      </c>
    </row>
    <row r="77" spans="1:18" ht="17.399999999999999" customHeight="1" x14ac:dyDescent="0.4">
      <c r="A77" s="247" t="s">
        <v>78</v>
      </c>
      <c r="B77" s="248"/>
      <c r="C77" s="248"/>
      <c r="D77" s="248"/>
      <c r="E77" s="249"/>
      <c r="F77" s="28">
        <f t="shared" ref="F77:Q77" si="16">SUM(F59:F76)</f>
        <v>0</v>
      </c>
      <c r="G77" s="28">
        <f t="shared" si="16"/>
        <v>18992</v>
      </c>
      <c r="H77" s="28">
        <f>SUM(H59:H76)</f>
        <v>76000</v>
      </c>
      <c r="I77" s="28">
        <f>SUM(I59:I76)</f>
        <v>8400</v>
      </c>
      <c r="J77" s="28">
        <f t="shared" si="16"/>
        <v>4919</v>
      </c>
      <c r="K77" s="28">
        <f t="shared" si="16"/>
        <v>0</v>
      </c>
      <c r="L77" s="28">
        <f t="shared" si="16"/>
        <v>0</v>
      </c>
      <c r="M77" s="28">
        <f t="shared" si="16"/>
        <v>45000</v>
      </c>
      <c r="N77" s="28">
        <f t="shared" si="16"/>
        <v>13215</v>
      </c>
      <c r="O77" s="28">
        <f t="shared" si="16"/>
        <v>26587</v>
      </c>
      <c r="P77" s="28">
        <f t="shared" si="16"/>
        <v>4800</v>
      </c>
      <c r="Q77" s="28">
        <f t="shared" si="16"/>
        <v>27600</v>
      </c>
      <c r="R77" s="30">
        <f>SUM(R59:R76)</f>
        <v>225513</v>
      </c>
    </row>
    <row r="78" spans="1:18" x14ac:dyDescent="0.4">
      <c r="A78" s="250" t="s">
        <v>84</v>
      </c>
      <c r="B78" s="251"/>
      <c r="C78" s="251"/>
      <c r="D78" s="251"/>
      <c r="E78" s="252"/>
      <c r="F78" s="35">
        <f>SUM(F60:F67)*17.65%+F71*17.65%+F73*17.65%</f>
        <v>0</v>
      </c>
      <c r="G78" s="35">
        <f>SUM(G60:G67)*17.65%+G71*17.65%+G73*17.65%</f>
        <v>3081.6899999999996</v>
      </c>
      <c r="H78" s="35">
        <f>(SUM(H60:H69)-220)*17.65%+H71*17.65%+H73*17.65%</f>
        <v>11296</v>
      </c>
      <c r="I78" s="35">
        <f t="shared" ref="I78:Q78" si="17">SUM(I60:I67)*17.65%+I71*17.65%+I73*17.65%</f>
        <v>0</v>
      </c>
      <c r="J78" s="35">
        <f t="shared" si="17"/>
        <v>868.20349999999996</v>
      </c>
      <c r="K78" s="35">
        <f t="shared" si="17"/>
        <v>0</v>
      </c>
      <c r="L78" s="35">
        <f t="shared" si="17"/>
        <v>0</v>
      </c>
      <c r="M78" s="35">
        <f>SUM(M60:M67)*17.65%+M71*17.65%+M73*17.65%</f>
        <v>7060</v>
      </c>
      <c r="N78" s="35">
        <f>SUM(N60:N67)*17.65%+N71*17.65%+N73*17.65%</f>
        <v>2332.4475000000002</v>
      </c>
      <c r="O78" s="35">
        <f>SUM(O60:O67)*17.65%+O71*17.65%+O73*17.65%</f>
        <v>4692.6054999999997</v>
      </c>
      <c r="P78" s="35">
        <f t="shared" si="17"/>
        <v>0</v>
      </c>
      <c r="Q78" s="35">
        <f t="shared" si="17"/>
        <v>4236</v>
      </c>
      <c r="R78" s="35">
        <f>SUM(F78:Q78)</f>
        <v>33566.946499999998</v>
      </c>
    </row>
    <row r="79" spans="1:18" x14ac:dyDescent="0.4">
      <c r="A79" s="234" t="s">
        <v>85</v>
      </c>
      <c r="B79" s="234"/>
      <c r="C79" s="234"/>
      <c r="D79" s="234"/>
      <c r="E79" s="234"/>
      <c r="F79" s="36">
        <f>F77+F78</f>
        <v>0</v>
      </c>
      <c r="G79" s="36">
        <f t="shared" ref="G79:Q79" si="18">G77+G78</f>
        <v>22073.69</v>
      </c>
      <c r="H79" s="36">
        <f>H77+H78</f>
        <v>87296</v>
      </c>
      <c r="I79" s="36">
        <f t="shared" si="18"/>
        <v>8400</v>
      </c>
      <c r="J79" s="36">
        <f>J77+J78-1</f>
        <v>5786.2034999999996</v>
      </c>
      <c r="K79" s="36">
        <f t="shared" si="18"/>
        <v>0</v>
      </c>
      <c r="L79" s="36">
        <f>L77+L78</f>
        <v>0</v>
      </c>
      <c r="M79" s="36">
        <f t="shared" si="18"/>
        <v>52060</v>
      </c>
      <c r="N79" s="36">
        <f t="shared" si="18"/>
        <v>15547.4475</v>
      </c>
      <c r="O79" s="36">
        <f t="shared" si="18"/>
        <v>31279.605499999998</v>
      </c>
      <c r="P79" s="36">
        <f t="shared" si="18"/>
        <v>4800</v>
      </c>
      <c r="Q79" s="36">
        <f t="shared" si="18"/>
        <v>31836</v>
      </c>
      <c r="R79" s="36">
        <f>R77+R78</f>
        <v>259079.94649999999</v>
      </c>
    </row>
    <row r="80" spans="1:18" x14ac:dyDescent="0.4">
      <c r="H80" s="33"/>
      <c r="I80" s="33"/>
      <c r="J80" s="33"/>
      <c r="K80" s="33"/>
      <c r="L80" s="33"/>
      <c r="M80" s="33"/>
      <c r="N80" s="33"/>
      <c r="O80" s="33"/>
      <c r="P80" s="33"/>
    </row>
    <row r="81" spans="6:18" hidden="1" x14ac:dyDescent="0.4">
      <c r="L81" s="35"/>
      <c r="M81" s="35"/>
      <c r="N81" s="33"/>
    </row>
    <row r="82" spans="6:18" hidden="1" x14ac:dyDescent="0.4">
      <c r="O82" s="37"/>
    </row>
    <row r="83" spans="6:18" hidden="1" x14ac:dyDescent="0.4">
      <c r="O83" s="37"/>
      <c r="P83" s="33"/>
      <c r="R83" s="33"/>
    </row>
    <row r="84" spans="6:18" hidden="1" x14ac:dyDescent="0.4">
      <c r="O84" s="37"/>
    </row>
    <row r="85" spans="6:18" hidden="1" x14ac:dyDescent="0.4">
      <c r="F85" s="37"/>
      <c r="O85" s="33"/>
    </row>
    <row r="87" spans="6:18" x14ac:dyDescent="0.4">
      <c r="F87" s="34"/>
      <c r="H87" s="34"/>
    </row>
    <row r="88" spans="6:18" x14ac:dyDescent="0.4">
      <c r="I88" s="154"/>
    </row>
  </sheetData>
  <mergeCells count="48">
    <mergeCell ref="A1:F1"/>
    <mergeCell ref="A3:D3"/>
    <mergeCell ref="A4:E4"/>
    <mergeCell ref="A5:A32"/>
    <mergeCell ref="B5:B6"/>
    <mergeCell ref="C5:C6"/>
    <mergeCell ref="B7:E7"/>
    <mergeCell ref="B8:B20"/>
    <mergeCell ref="C8:C11"/>
    <mergeCell ref="D8:D10"/>
    <mergeCell ref="C12:C16"/>
    <mergeCell ref="C17:C20"/>
    <mergeCell ref="B21:E21"/>
    <mergeCell ref="B23:E23"/>
    <mergeCell ref="B24:B29"/>
    <mergeCell ref="C24:C27"/>
    <mergeCell ref="D24:D27"/>
    <mergeCell ref="C28:C29"/>
    <mergeCell ref="D28:D29"/>
    <mergeCell ref="A55:E55"/>
    <mergeCell ref="B30:E30"/>
    <mergeCell ref="B32:E32"/>
    <mergeCell ref="A33:E33"/>
    <mergeCell ref="A34:A52"/>
    <mergeCell ref="B34:B36"/>
    <mergeCell ref="C34:C52"/>
    <mergeCell ref="D34:D35"/>
    <mergeCell ref="B37:B45"/>
    <mergeCell ref="D37:D39"/>
    <mergeCell ref="D43:D44"/>
    <mergeCell ref="B47:B48"/>
    <mergeCell ref="B49:B52"/>
    <mergeCell ref="D50:D52"/>
    <mergeCell ref="A53:E53"/>
    <mergeCell ref="A54:E54"/>
    <mergeCell ref="A77:E77"/>
    <mergeCell ref="A78:E78"/>
    <mergeCell ref="A79:E79"/>
    <mergeCell ref="A56:R56"/>
    <mergeCell ref="A59:A76"/>
    <mergeCell ref="B59:B60"/>
    <mergeCell ref="C59:C76"/>
    <mergeCell ref="B61:B69"/>
    <mergeCell ref="D61:D63"/>
    <mergeCell ref="D67:D68"/>
    <mergeCell ref="B71:B72"/>
    <mergeCell ref="B73:B76"/>
    <mergeCell ref="D74:D7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6" max="17" man="1"/>
    <brk id="79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F6CF-9291-4759-B2BD-5ADCE7B2ADEE}">
  <sheetPr>
    <pageSetUpPr fitToPage="1"/>
  </sheetPr>
  <dimension ref="A1:R88"/>
  <sheetViews>
    <sheetView zoomScale="64" zoomScaleNormal="64" workbookViewId="0">
      <selection activeCell="M54" sqref="M54"/>
    </sheetView>
  </sheetViews>
  <sheetFormatPr defaultRowHeight="17.399999999999999" x14ac:dyDescent="0.4"/>
  <cols>
    <col min="1" max="1" width="8.69921875" customWidth="1"/>
    <col min="2" max="2" width="13" bestFit="1" customWidth="1"/>
    <col min="3" max="3" width="14.8984375" customWidth="1"/>
    <col min="4" max="4" width="17.8984375" customWidth="1"/>
    <col min="5" max="5" width="41.5" customWidth="1"/>
    <col min="6" max="6" width="12.69921875" bestFit="1" customWidth="1"/>
    <col min="7" max="10" width="13.69921875" customWidth="1"/>
    <col min="11" max="11" width="14.69921875" customWidth="1"/>
    <col min="12" max="12" width="13.69921875" customWidth="1"/>
    <col min="13" max="13" width="13" customWidth="1"/>
    <col min="14" max="14" width="13.69921875" customWidth="1"/>
    <col min="15" max="15" width="13" bestFit="1" customWidth="1"/>
    <col min="16" max="16" width="12.3984375" customWidth="1"/>
    <col min="17" max="17" width="12" customWidth="1"/>
    <col min="18" max="18" width="15.5" bestFit="1" customWidth="1"/>
  </cols>
  <sheetData>
    <row r="1" spans="1:18" ht="30" x14ac:dyDescent="0.4">
      <c r="A1" s="261" t="s">
        <v>115</v>
      </c>
      <c r="B1" s="261"/>
      <c r="C1" s="261"/>
      <c r="D1" s="261"/>
      <c r="E1" s="261"/>
      <c r="F1" s="261"/>
      <c r="R1" s="1" t="s">
        <v>144</v>
      </c>
    </row>
    <row r="2" spans="1:18" ht="17.25" customHeight="1" x14ac:dyDescent="0.4">
      <c r="A2" s="164"/>
      <c r="B2" s="164"/>
      <c r="C2" s="164"/>
      <c r="D2" s="164"/>
      <c r="E2" s="164"/>
      <c r="F2" s="164"/>
      <c r="R2" s="3" t="s">
        <v>0</v>
      </c>
    </row>
    <row r="3" spans="1:18" x14ac:dyDescent="0.4">
      <c r="A3" s="262" t="s">
        <v>1</v>
      </c>
      <c r="B3" s="262"/>
      <c r="C3" s="262"/>
      <c r="D3" s="262"/>
      <c r="E3" s="4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</row>
    <row r="4" spans="1:18" x14ac:dyDescent="0.4">
      <c r="A4" s="263" t="s">
        <v>16</v>
      </c>
      <c r="B4" s="264"/>
      <c r="C4" s="264"/>
      <c r="D4" s="264"/>
      <c r="E4" s="265"/>
      <c r="F4" s="6" t="s">
        <v>116</v>
      </c>
      <c r="G4" s="6" t="s">
        <v>117</v>
      </c>
      <c r="H4" s="6" t="s">
        <v>118</v>
      </c>
      <c r="I4" s="6"/>
      <c r="J4" s="6" t="s">
        <v>17</v>
      </c>
      <c r="K4" s="6" t="s">
        <v>119</v>
      </c>
      <c r="L4" s="6" t="s">
        <v>18</v>
      </c>
      <c r="M4" s="6" t="s">
        <v>18</v>
      </c>
      <c r="N4" s="6" t="s">
        <v>120</v>
      </c>
      <c r="O4" s="6"/>
      <c r="P4" s="6"/>
      <c r="Q4" s="6" t="s">
        <v>121</v>
      </c>
      <c r="R4" s="6"/>
    </row>
    <row r="5" spans="1:18" x14ac:dyDescent="0.4">
      <c r="A5" s="266" t="s">
        <v>1</v>
      </c>
      <c r="B5" s="254" t="s">
        <v>19</v>
      </c>
      <c r="C5" s="254" t="s">
        <v>20</v>
      </c>
      <c r="D5" s="159" t="s">
        <v>21</v>
      </c>
      <c r="E5" s="8" t="s">
        <v>22</v>
      </c>
      <c r="F5" s="9">
        <v>0</v>
      </c>
      <c r="G5" s="9">
        <v>0</v>
      </c>
      <c r="H5" s="138">
        <v>470000</v>
      </c>
      <c r="I5" s="138">
        <v>450000</v>
      </c>
      <c r="J5" s="170">
        <v>50000</v>
      </c>
      <c r="K5" s="9">
        <v>0</v>
      </c>
      <c r="L5" s="9">
        <v>0</v>
      </c>
      <c r="M5" s="170">
        <v>50000</v>
      </c>
      <c r="N5" s="170">
        <v>80000</v>
      </c>
      <c r="O5" s="9">
        <v>0</v>
      </c>
      <c r="P5" s="9">
        <v>0</v>
      </c>
      <c r="Q5" s="9">
        <v>0</v>
      </c>
      <c r="R5" s="11">
        <f>SUM(F5:Q5)</f>
        <v>1100000</v>
      </c>
    </row>
    <row r="6" spans="1:18" x14ac:dyDescent="0.4">
      <c r="A6" s="266"/>
      <c r="B6" s="255"/>
      <c r="C6" s="255"/>
      <c r="D6" s="163" t="s">
        <v>23</v>
      </c>
      <c r="E6" s="163" t="s">
        <v>24</v>
      </c>
      <c r="F6" s="9">
        <v>0</v>
      </c>
      <c r="G6" s="9">
        <v>300000</v>
      </c>
      <c r="H6" s="138">
        <v>330000</v>
      </c>
      <c r="I6" s="138">
        <v>350000</v>
      </c>
      <c r="J6" s="138">
        <v>250000</v>
      </c>
      <c r="K6" s="9">
        <v>0</v>
      </c>
      <c r="L6" s="9">
        <v>0</v>
      </c>
      <c r="M6" s="138">
        <v>150000</v>
      </c>
      <c r="N6" s="138">
        <v>220000</v>
      </c>
      <c r="O6" s="9"/>
      <c r="P6" s="9">
        <v>0</v>
      </c>
      <c r="Q6" s="9">
        <v>0</v>
      </c>
      <c r="R6" s="9">
        <f>SUM(F6:Q6)</f>
        <v>1600000</v>
      </c>
    </row>
    <row r="7" spans="1:18" x14ac:dyDescent="0.4">
      <c r="A7" s="266"/>
      <c r="B7" s="256" t="s">
        <v>25</v>
      </c>
      <c r="C7" s="257"/>
      <c r="D7" s="257"/>
      <c r="E7" s="258"/>
      <c r="F7" s="13">
        <f t="shared" ref="F7:G7" si="0">F6</f>
        <v>0</v>
      </c>
      <c r="G7" s="13">
        <f t="shared" si="0"/>
        <v>300000</v>
      </c>
      <c r="H7" s="13">
        <f t="shared" ref="H7:Q7" si="1">SUM(H5:H6)</f>
        <v>800000</v>
      </c>
      <c r="I7" s="13">
        <f t="shared" si="1"/>
        <v>800000</v>
      </c>
      <c r="J7" s="13">
        <f t="shared" si="1"/>
        <v>300000</v>
      </c>
      <c r="K7" s="13">
        <f t="shared" si="1"/>
        <v>0</v>
      </c>
      <c r="L7" s="13">
        <f t="shared" si="1"/>
        <v>0</v>
      </c>
      <c r="M7" s="13">
        <f t="shared" si="1"/>
        <v>200000</v>
      </c>
      <c r="N7" s="13">
        <f t="shared" si="1"/>
        <v>300000</v>
      </c>
      <c r="O7" s="13">
        <f t="shared" si="1"/>
        <v>0</v>
      </c>
      <c r="P7" s="13">
        <f t="shared" si="1"/>
        <v>0</v>
      </c>
      <c r="Q7" s="13">
        <f t="shared" si="1"/>
        <v>0</v>
      </c>
      <c r="R7" s="13">
        <f>SUM(F7:Q7)</f>
        <v>2700000</v>
      </c>
    </row>
    <row r="8" spans="1:18" x14ac:dyDescent="0.4">
      <c r="A8" s="266"/>
      <c r="B8" s="254" t="s">
        <v>26</v>
      </c>
      <c r="C8" s="268" t="s">
        <v>27</v>
      </c>
      <c r="D8" s="238" t="s">
        <v>28</v>
      </c>
      <c r="E8" s="163" t="s">
        <v>29</v>
      </c>
      <c r="F8" s="9">
        <v>0</v>
      </c>
      <c r="G8" s="9">
        <v>12000</v>
      </c>
      <c r="H8" s="9">
        <v>18000</v>
      </c>
      <c r="I8" s="9">
        <v>18000</v>
      </c>
      <c r="J8" s="9">
        <v>18000</v>
      </c>
      <c r="K8" s="9">
        <v>0</v>
      </c>
      <c r="L8" s="9">
        <v>0</v>
      </c>
      <c r="M8" s="9">
        <v>18000</v>
      </c>
      <c r="N8" s="9">
        <v>18000</v>
      </c>
      <c r="O8" s="9">
        <v>18000</v>
      </c>
      <c r="P8" s="9">
        <v>0</v>
      </c>
      <c r="Q8" s="9">
        <v>0</v>
      </c>
      <c r="R8" s="9">
        <f>SUM(F8:Q8)</f>
        <v>120000</v>
      </c>
    </row>
    <row r="9" spans="1:18" x14ac:dyDescent="0.4">
      <c r="A9" s="266"/>
      <c r="B9" s="254"/>
      <c r="C9" s="268"/>
      <c r="D9" s="242"/>
      <c r="E9" s="163" t="s">
        <v>124</v>
      </c>
      <c r="F9" s="9">
        <v>0</v>
      </c>
      <c r="G9" s="9">
        <v>6110</v>
      </c>
      <c r="H9" s="9">
        <v>10000</v>
      </c>
      <c r="I9" s="9">
        <v>10000</v>
      </c>
      <c r="J9" s="9">
        <v>10000</v>
      </c>
      <c r="K9" s="9">
        <v>0</v>
      </c>
      <c r="L9" s="9">
        <v>0</v>
      </c>
      <c r="M9" s="9">
        <v>10000</v>
      </c>
      <c r="N9" s="9">
        <v>10000</v>
      </c>
      <c r="O9" s="9">
        <v>10000</v>
      </c>
      <c r="P9" s="9">
        <v>0</v>
      </c>
      <c r="Q9" s="9">
        <v>0</v>
      </c>
      <c r="R9" s="9">
        <f t="shared" ref="R9:R20" si="2">SUM(F9:Q9)</f>
        <v>66110</v>
      </c>
    </row>
    <row r="10" spans="1:18" x14ac:dyDescent="0.4">
      <c r="A10" s="266"/>
      <c r="B10" s="254"/>
      <c r="C10" s="268"/>
      <c r="D10" s="239"/>
      <c r="E10" s="163" t="s">
        <v>30</v>
      </c>
      <c r="F10" s="9">
        <v>0</v>
      </c>
      <c r="G10" s="9">
        <v>10000</v>
      </c>
      <c r="H10" s="9">
        <v>15000</v>
      </c>
      <c r="I10" s="9">
        <v>0</v>
      </c>
      <c r="J10" s="9">
        <v>15000</v>
      </c>
      <c r="K10" s="9">
        <v>0</v>
      </c>
      <c r="L10" s="9">
        <v>0</v>
      </c>
      <c r="M10" s="9">
        <v>0</v>
      </c>
      <c r="N10" s="9">
        <v>15000</v>
      </c>
      <c r="O10" s="9">
        <v>0</v>
      </c>
      <c r="P10" s="9">
        <v>0</v>
      </c>
      <c r="Q10" s="9">
        <v>0</v>
      </c>
      <c r="R10" s="9">
        <f t="shared" si="2"/>
        <v>55000</v>
      </c>
    </row>
    <row r="11" spans="1:18" x14ac:dyDescent="0.4">
      <c r="A11" s="266"/>
      <c r="B11" s="254"/>
      <c r="C11" s="268"/>
      <c r="D11" s="163" t="s">
        <v>31</v>
      </c>
      <c r="E11" s="163" t="s">
        <v>32</v>
      </c>
      <c r="F11" s="9">
        <v>0</v>
      </c>
      <c r="G11" s="9">
        <v>7000</v>
      </c>
      <c r="H11" s="9">
        <v>10000</v>
      </c>
      <c r="I11" s="9">
        <v>10000</v>
      </c>
      <c r="J11" s="9">
        <v>10000</v>
      </c>
      <c r="K11" s="9">
        <v>0</v>
      </c>
      <c r="L11" s="9">
        <v>0</v>
      </c>
      <c r="M11" s="9">
        <v>10000</v>
      </c>
      <c r="N11" s="9">
        <v>10000</v>
      </c>
      <c r="O11" s="9">
        <v>10000</v>
      </c>
      <c r="P11" s="9">
        <v>0</v>
      </c>
      <c r="Q11" s="9">
        <v>0</v>
      </c>
      <c r="R11" s="9">
        <f t="shared" si="2"/>
        <v>67000</v>
      </c>
    </row>
    <row r="12" spans="1:18" x14ac:dyDescent="0.4">
      <c r="A12" s="266"/>
      <c r="B12" s="254"/>
      <c r="C12" s="268" t="s">
        <v>33</v>
      </c>
      <c r="D12" s="160" t="s">
        <v>34</v>
      </c>
      <c r="E12" s="163" t="s">
        <v>35</v>
      </c>
      <c r="F12" s="9">
        <v>0</v>
      </c>
      <c r="G12" s="9">
        <v>10000</v>
      </c>
      <c r="H12" s="15">
        <v>15000</v>
      </c>
      <c r="I12" s="15">
        <v>15000</v>
      </c>
      <c r="J12" s="15">
        <v>15000</v>
      </c>
      <c r="K12" s="9">
        <v>0</v>
      </c>
      <c r="L12" s="9">
        <v>0</v>
      </c>
      <c r="M12" s="15">
        <v>15000</v>
      </c>
      <c r="N12" s="15">
        <v>15000</v>
      </c>
      <c r="O12" s="15">
        <v>15000</v>
      </c>
      <c r="P12" s="9">
        <v>0</v>
      </c>
      <c r="Q12" s="9">
        <v>0</v>
      </c>
      <c r="R12" s="9">
        <f t="shared" si="2"/>
        <v>100000</v>
      </c>
    </row>
    <row r="13" spans="1:18" x14ac:dyDescent="0.4">
      <c r="A13" s="266"/>
      <c r="B13" s="254"/>
      <c r="C13" s="268"/>
      <c r="D13" s="163" t="s">
        <v>36</v>
      </c>
      <c r="E13" s="165" t="s">
        <v>125</v>
      </c>
      <c r="F13" s="9">
        <v>0</v>
      </c>
      <c r="G13" s="18">
        <v>3000</v>
      </c>
      <c r="H13" s="9">
        <v>5000</v>
      </c>
      <c r="I13" s="9">
        <v>5000</v>
      </c>
      <c r="J13" s="9">
        <v>5000</v>
      </c>
      <c r="K13" s="9">
        <v>0</v>
      </c>
      <c r="L13" s="9">
        <v>0</v>
      </c>
      <c r="M13" s="9">
        <v>5000</v>
      </c>
      <c r="N13" s="9">
        <v>5000</v>
      </c>
      <c r="O13" s="9">
        <v>5000</v>
      </c>
      <c r="P13" s="9">
        <v>0</v>
      </c>
      <c r="Q13" s="9">
        <v>0</v>
      </c>
      <c r="R13" s="9">
        <f t="shared" si="2"/>
        <v>33000</v>
      </c>
    </row>
    <row r="14" spans="1:18" x14ac:dyDescent="0.4">
      <c r="A14" s="266"/>
      <c r="B14" s="254"/>
      <c r="C14" s="268"/>
      <c r="D14" s="163" t="s">
        <v>36</v>
      </c>
      <c r="E14" s="165" t="s">
        <v>126</v>
      </c>
      <c r="F14" s="9">
        <v>0</v>
      </c>
      <c r="G14" s="18">
        <v>3000</v>
      </c>
      <c r="H14" s="9">
        <v>5000</v>
      </c>
      <c r="I14" s="9">
        <v>5000</v>
      </c>
      <c r="J14" s="9">
        <v>5000</v>
      </c>
      <c r="K14" s="9">
        <v>0</v>
      </c>
      <c r="L14" s="9">
        <v>0</v>
      </c>
      <c r="M14" s="9">
        <v>5000</v>
      </c>
      <c r="N14" s="9">
        <v>5000</v>
      </c>
      <c r="O14" s="9">
        <v>5000</v>
      </c>
      <c r="P14" s="9">
        <v>0</v>
      </c>
      <c r="Q14" s="9">
        <v>0</v>
      </c>
      <c r="R14" s="9">
        <f t="shared" si="2"/>
        <v>33000</v>
      </c>
    </row>
    <row r="15" spans="1:18" x14ac:dyDescent="0.4">
      <c r="A15" s="266"/>
      <c r="B15" s="254"/>
      <c r="C15" s="268"/>
      <c r="D15" s="162" t="s">
        <v>37</v>
      </c>
      <c r="E15" s="163" t="s">
        <v>38</v>
      </c>
      <c r="F15" s="9">
        <v>0</v>
      </c>
      <c r="G15" s="9">
        <v>3000</v>
      </c>
      <c r="H15" s="9">
        <v>3000</v>
      </c>
      <c r="I15" s="9">
        <v>3000</v>
      </c>
      <c r="J15" s="9">
        <v>3000</v>
      </c>
      <c r="K15" s="9">
        <v>0</v>
      </c>
      <c r="L15" s="9">
        <v>0</v>
      </c>
      <c r="M15" s="9">
        <v>3000</v>
      </c>
      <c r="N15" s="9">
        <v>3000</v>
      </c>
      <c r="O15" s="9"/>
      <c r="P15" s="9">
        <v>0</v>
      </c>
      <c r="Q15" s="9">
        <v>0</v>
      </c>
      <c r="R15" s="9">
        <f t="shared" si="2"/>
        <v>18000</v>
      </c>
    </row>
    <row r="16" spans="1:18" x14ac:dyDescent="0.4">
      <c r="A16" s="266"/>
      <c r="B16" s="254"/>
      <c r="C16" s="268"/>
      <c r="D16" s="163" t="s">
        <v>39</v>
      </c>
      <c r="E16" s="163" t="s">
        <v>127</v>
      </c>
      <c r="F16" s="9">
        <v>0</v>
      </c>
      <c r="G16" s="9">
        <v>0</v>
      </c>
      <c r="H16" s="9">
        <v>5000</v>
      </c>
      <c r="I16" s="9">
        <v>0</v>
      </c>
      <c r="J16" s="9">
        <v>5000</v>
      </c>
      <c r="K16" s="9">
        <v>0</v>
      </c>
      <c r="L16" s="9">
        <v>0</v>
      </c>
      <c r="M16" s="9">
        <v>5000</v>
      </c>
      <c r="N16" s="9">
        <v>5000</v>
      </c>
      <c r="O16" s="9">
        <v>0</v>
      </c>
      <c r="P16" s="9">
        <v>0</v>
      </c>
      <c r="Q16" s="9">
        <v>0</v>
      </c>
      <c r="R16" s="9">
        <f t="shared" si="2"/>
        <v>20000</v>
      </c>
    </row>
    <row r="17" spans="1:18" x14ac:dyDescent="0.4">
      <c r="A17" s="266"/>
      <c r="B17" s="254"/>
      <c r="C17" s="253" t="s">
        <v>40</v>
      </c>
      <c r="D17" s="161" t="s">
        <v>34</v>
      </c>
      <c r="E17" s="163" t="s">
        <v>128</v>
      </c>
      <c r="F17" s="9">
        <v>0</v>
      </c>
      <c r="G17" s="9">
        <v>2473.3000000000002</v>
      </c>
      <c r="H17" s="9">
        <v>5476.6</v>
      </c>
      <c r="I17" s="9">
        <v>5300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f t="shared" si="2"/>
        <v>13249.900000000001</v>
      </c>
    </row>
    <row r="18" spans="1:18" x14ac:dyDescent="0.4">
      <c r="A18" s="266"/>
      <c r="B18" s="254"/>
      <c r="C18" s="254"/>
      <c r="D18" s="161" t="s">
        <v>34</v>
      </c>
      <c r="E18" s="163" t="s">
        <v>129</v>
      </c>
      <c r="F18" s="9">
        <v>0</v>
      </c>
      <c r="G18" s="9">
        <v>3686.6</v>
      </c>
      <c r="H18" s="9">
        <v>8163.3</v>
      </c>
      <c r="I18" s="9">
        <v>7900</v>
      </c>
      <c r="J18" s="9">
        <v>8160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f t="shared" si="2"/>
        <v>27909.9</v>
      </c>
    </row>
    <row r="19" spans="1:18" x14ac:dyDescent="0.4">
      <c r="A19" s="266"/>
      <c r="B19" s="254"/>
      <c r="C19" s="254"/>
      <c r="D19" s="161" t="s">
        <v>34</v>
      </c>
      <c r="E19" s="163" t="s">
        <v>41</v>
      </c>
      <c r="F19" s="9">
        <v>0</v>
      </c>
      <c r="G19" s="9">
        <v>0</v>
      </c>
      <c r="H19" s="9">
        <v>0</v>
      </c>
      <c r="I19" s="9">
        <v>0</v>
      </c>
      <c r="J19" s="9">
        <v>510</v>
      </c>
      <c r="K19" s="9">
        <v>500</v>
      </c>
      <c r="L19" s="9">
        <v>510</v>
      </c>
      <c r="M19" s="9">
        <v>510</v>
      </c>
      <c r="N19" s="9">
        <v>500</v>
      </c>
      <c r="O19" s="9">
        <v>510</v>
      </c>
      <c r="P19" s="9">
        <v>500</v>
      </c>
      <c r="Q19" s="9">
        <v>510</v>
      </c>
      <c r="R19" s="9">
        <f t="shared" si="2"/>
        <v>4050</v>
      </c>
    </row>
    <row r="20" spans="1:18" x14ac:dyDescent="0.4">
      <c r="A20" s="266"/>
      <c r="B20" s="254"/>
      <c r="C20" s="254"/>
      <c r="D20" s="161" t="s">
        <v>34</v>
      </c>
      <c r="E20" s="163" t="s">
        <v>130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3600</v>
      </c>
      <c r="L20" s="9">
        <v>3720</v>
      </c>
      <c r="M20" s="9">
        <v>3720</v>
      </c>
      <c r="N20" s="9">
        <v>3600</v>
      </c>
      <c r="O20" s="9">
        <v>3720</v>
      </c>
      <c r="P20" s="9">
        <v>3600</v>
      </c>
      <c r="Q20" s="9">
        <v>3720</v>
      </c>
      <c r="R20" s="9">
        <f t="shared" si="2"/>
        <v>25680</v>
      </c>
    </row>
    <row r="21" spans="1:18" x14ac:dyDescent="0.4">
      <c r="A21" s="266"/>
      <c r="B21" s="256" t="s">
        <v>42</v>
      </c>
      <c r="C21" s="257"/>
      <c r="D21" s="257"/>
      <c r="E21" s="258"/>
      <c r="F21" s="13">
        <f t="shared" ref="F21:R21" si="3">SUM(F8:F20)</f>
        <v>0</v>
      </c>
      <c r="G21" s="13">
        <f t="shared" si="3"/>
        <v>60269.9</v>
      </c>
      <c r="H21" s="13">
        <f t="shared" si="3"/>
        <v>99639.900000000009</v>
      </c>
      <c r="I21" s="13">
        <f t="shared" si="3"/>
        <v>79200</v>
      </c>
      <c r="J21" s="13">
        <f t="shared" si="3"/>
        <v>94670</v>
      </c>
      <c r="K21" s="13">
        <f t="shared" si="3"/>
        <v>4100</v>
      </c>
      <c r="L21" s="13">
        <f t="shared" si="3"/>
        <v>4230</v>
      </c>
      <c r="M21" s="13">
        <f t="shared" si="3"/>
        <v>75230</v>
      </c>
      <c r="N21" s="13">
        <f t="shared" si="3"/>
        <v>90100</v>
      </c>
      <c r="O21" s="13">
        <f t="shared" si="3"/>
        <v>67230</v>
      </c>
      <c r="P21" s="13">
        <f t="shared" si="3"/>
        <v>4100</v>
      </c>
      <c r="Q21" s="13">
        <f t="shared" si="3"/>
        <v>4230</v>
      </c>
      <c r="R21" s="13">
        <f t="shared" si="3"/>
        <v>582999.80000000005</v>
      </c>
    </row>
    <row r="22" spans="1:18" hidden="1" x14ac:dyDescent="0.4">
      <c r="A22" s="266"/>
      <c r="B22" s="166" t="s">
        <v>43</v>
      </c>
      <c r="C22" s="166" t="s">
        <v>20</v>
      </c>
      <c r="D22" s="158" t="s">
        <v>43</v>
      </c>
      <c r="E22" s="22" t="s">
        <v>44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" si="4">SUM(F22:Q22)</f>
        <v>0</v>
      </c>
    </row>
    <row r="23" spans="1:18" hidden="1" x14ac:dyDescent="0.4">
      <c r="A23" s="266"/>
      <c r="B23" s="256" t="s">
        <v>45</v>
      </c>
      <c r="C23" s="257"/>
      <c r="D23" s="257"/>
      <c r="E23" s="258"/>
      <c r="F23" s="13">
        <f t="shared" ref="F23:R23" si="5">SUM(F22:F22)</f>
        <v>0</v>
      </c>
      <c r="G23" s="13">
        <f t="shared" si="5"/>
        <v>0</v>
      </c>
      <c r="H23" s="13">
        <f t="shared" si="5"/>
        <v>0</v>
      </c>
      <c r="I23" s="13">
        <f t="shared" si="5"/>
        <v>0</v>
      </c>
      <c r="J23" s="13">
        <f t="shared" si="5"/>
        <v>0</v>
      </c>
      <c r="K23" s="13">
        <f t="shared" si="5"/>
        <v>0</v>
      </c>
      <c r="L23" s="13">
        <f t="shared" si="5"/>
        <v>0</v>
      </c>
      <c r="M23" s="13">
        <f t="shared" si="5"/>
        <v>0</v>
      </c>
      <c r="N23" s="13">
        <f t="shared" si="5"/>
        <v>0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</row>
    <row r="24" spans="1:18" x14ac:dyDescent="0.4">
      <c r="A24" s="266"/>
      <c r="B24" s="269" t="s">
        <v>46</v>
      </c>
      <c r="C24" s="253" t="s">
        <v>20</v>
      </c>
      <c r="D24" s="253" t="s">
        <v>47</v>
      </c>
      <c r="E24" s="135" t="s">
        <v>132</v>
      </c>
      <c r="F24" s="9">
        <v>0</v>
      </c>
      <c r="G24" s="9">
        <v>0</v>
      </c>
      <c r="H24" s="9">
        <v>27800</v>
      </c>
      <c r="I24" s="9">
        <v>30800</v>
      </c>
      <c r="J24" s="9">
        <v>30800</v>
      </c>
      <c r="K24" s="9">
        <v>0</v>
      </c>
      <c r="L24" s="9">
        <v>0</v>
      </c>
      <c r="M24" s="9">
        <v>32750</v>
      </c>
      <c r="N24" s="9">
        <v>32750</v>
      </c>
      <c r="O24" s="9">
        <v>0</v>
      </c>
      <c r="P24" s="9">
        <v>0</v>
      </c>
      <c r="Q24" s="9">
        <v>0</v>
      </c>
      <c r="R24" s="9">
        <f t="shared" ref="R24:R29" si="6">SUM(F24:Q24)</f>
        <v>154900</v>
      </c>
    </row>
    <row r="25" spans="1:18" x14ac:dyDescent="0.4">
      <c r="A25" s="266"/>
      <c r="B25" s="270"/>
      <c r="C25" s="254"/>
      <c r="D25" s="254"/>
      <c r="E25" s="135" t="s">
        <v>134</v>
      </c>
      <c r="F25" s="9"/>
      <c r="G25" s="9"/>
      <c r="H25" s="9">
        <v>4600</v>
      </c>
      <c r="I25" s="9">
        <v>4600</v>
      </c>
      <c r="J25" s="9">
        <v>4600</v>
      </c>
      <c r="K25" s="9">
        <v>4600</v>
      </c>
      <c r="L25" s="9">
        <v>4600</v>
      </c>
      <c r="M25" s="9">
        <v>4600</v>
      </c>
      <c r="N25" s="9">
        <v>4600</v>
      </c>
      <c r="O25" s="9">
        <v>4600</v>
      </c>
      <c r="P25" s="9"/>
      <c r="Q25" s="9"/>
      <c r="R25" s="9">
        <f t="shared" si="6"/>
        <v>36800</v>
      </c>
    </row>
    <row r="26" spans="1:18" x14ac:dyDescent="0.4">
      <c r="A26" s="266"/>
      <c r="B26" s="270"/>
      <c r="C26" s="254"/>
      <c r="D26" s="254"/>
      <c r="E26" s="135" t="s">
        <v>133</v>
      </c>
      <c r="F26" s="9"/>
      <c r="G26" s="9"/>
      <c r="H26" s="9">
        <v>18000</v>
      </c>
      <c r="I26" s="9">
        <v>18000</v>
      </c>
      <c r="J26" s="9">
        <v>18000</v>
      </c>
      <c r="K26" s="9"/>
      <c r="L26" s="9"/>
      <c r="M26" s="9">
        <v>18000</v>
      </c>
      <c r="N26" s="9">
        <v>18000</v>
      </c>
      <c r="O26" s="9"/>
      <c r="P26" s="9"/>
      <c r="Q26" s="9"/>
      <c r="R26" s="9">
        <f t="shared" si="6"/>
        <v>90000</v>
      </c>
    </row>
    <row r="27" spans="1:18" x14ac:dyDescent="0.4">
      <c r="A27" s="266"/>
      <c r="B27" s="270"/>
      <c r="C27" s="255"/>
      <c r="D27" s="255"/>
      <c r="E27" s="22" t="s">
        <v>131</v>
      </c>
      <c r="F27" s="9"/>
      <c r="G27" s="9"/>
      <c r="H27" s="9">
        <v>0</v>
      </c>
      <c r="I27" s="9">
        <v>91100</v>
      </c>
      <c r="J27" s="9"/>
      <c r="K27" s="9"/>
      <c r="L27" s="9"/>
      <c r="M27" s="9"/>
      <c r="N27" s="9"/>
      <c r="O27" s="9"/>
      <c r="P27" s="9"/>
      <c r="Q27" s="9"/>
      <c r="R27" s="9">
        <f t="shared" si="6"/>
        <v>91100</v>
      </c>
    </row>
    <row r="28" spans="1:18" hidden="1" x14ac:dyDescent="0.4">
      <c r="A28" s="266"/>
      <c r="B28" s="270"/>
      <c r="C28" s="253" t="s">
        <v>48</v>
      </c>
      <c r="D28" s="253" t="s">
        <v>48</v>
      </c>
      <c r="E28" s="22" t="s">
        <v>135</v>
      </c>
      <c r="F28" s="9">
        <v>0</v>
      </c>
      <c r="G28" s="9">
        <v>0</v>
      </c>
      <c r="H28" s="138"/>
      <c r="I28" s="9"/>
      <c r="J28" s="9"/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f t="shared" si="6"/>
        <v>0</v>
      </c>
    </row>
    <row r="29" spans="1:18" x14ac:dyDescent="0.4">
      <c r="A29" s="266"/>
      <c r="B29" s="270"/>
      <c r="C29" s="255"/>
      <c r="D29" s="255"/>
      <c r="E29" s="22" t="s">
        <v>138</v>
      </c>
      <c r="F29" s="9">
        <v>0</v>
      </c>
      <c r="G29" s="9">
        <v>0</v>
      </c>
      <c r="H29" s="9">
        <v>85000</v>
      </c>
      <c r="I29" s="9"/>
      <c r="J29" s="9"/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f t="shared" si="6"/>
        <v>85000</v>
      </c>
    </row>
    <row r="30" spans="1:18" x14ac:dyDescent="0.4">
      <c r="A30" s="266"/>
      <c r="B30" s="256" t="s">
        <v>49</v>
      </c>
      <c r="C30" s="257"/>
      <c r="D30" s="257"/>
      <c r="E30" s="258"/>
      <c r="F30" s="13">
        <f>SUM(F24:F29)</f>
        <v>0</v>
      </c>
      <c r="G30" s="13">
        <f>SUM(G24:G29)</f>
        <v>0</v>
      </c>
      <c r="H30" s="13">
        <f t="shared" ref="H30:Q30" si="7">SUM(H24:H29)</f>
        <v>135400</v>
      </c>
      <c r="I30" s="13">
        <f t="shared" si="7"/>
        <v>144500</v>
      </c>
      <c r="J30" s="13">
        <f t="shared" si="7"/>
        <v>53400</v>
      </c>
      <c r="K30" s="13">
        <f t="shared" si="7"/>
        <v>4600</v>
      </c>
      <c r="L30" s="13">
        <f t="shared" si="7"/>
        <v>4600</v>
      </c>
      <c r="M30" s="13">
        <f t="shared" si="7"/>
        <v>55350</v>
      </c>
      <c r="N30" s="13">
        <f t="shared" si="7"/>
        <v>55350</v>
      </c>
      <c r="O30" s="13">
        <f t="shared" si="7"/>
        <v>4600</v>
      </c>
      <c r="P30" s="13">
        <f t="shared" si="7"/>
        <v>0</v>
      </c>
      <c r="Q30" s="13">
        <f t="shared" si="7"/>
        <v>0</v>
      </c>
      <c r="R30" s="13">
        <f>SUM(R24:R29)</f>
        <v>457800</v>
      </c>
    </row>
    <row r="31" spans="1:18" hidden="1" x14ac:dyDescent="0.4">
      <c r="A31" s="266"/>
      <c r="B31" s="166" t="s">
        <v>50</v>
      </c>
      <c r="C31" s="158" t="s">
        <v>20</v>
      </c>
      <c r="D31" s="158" t="s">
        <v>51</v>
      </c>
      <c r="E31" s="22" t="s">
        <v>52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/>
      <c r="O31" s="9">
        <v>0</v>
      </c>
      <c r="P31" s="9">
        <v>0</v>
      </c>
      <c r="Q31" s="9">
        <v>0</v>
      </c>
      <c r="R31" s="9">
        <f>J31</f>
        <v>0</v>
      </c>
    </row>
    <row r="32" spans="1:18" hidden="1" x14ac:dyDescent="0.4">
      <c r="A32" s="267"/>
      <c r="B32" s="256" t="s">
        <v>53</v>
      </c>
      <c r="C32" s="257"/>
      <c r="D32" s="257"/>
      <c r="E32" s="258"/>
      <c r="F32" s="13">
        <f t="shared" ref="F32:R32" si="8">SUM(F31:F31)</f>
        <v>0</v>
      </c>
      <c r="G32" s="13">
        <f t="shared" si="8"/>
        <v>0</v>
      </c>
      <c r="H32" s="13">
        <f t="shared" si="8"/>
        <v>0</v>
      </c>
      <c r="I32" s="13">
        <f t="shared" si="8"/>
        <v>0</v>
      </c>
      <c r="J32" s="13">
        <f t="shared" si="8"/>
        <v>0</v>
      </c>
      <c r="K32" s="13">
        <f t="shared" si="8"/>
        <v>0</v>
      </c>
      <c r="L32" s="13">
        <f t="shared" si="8"/>
        <v>0</v>
      </c>
      <c r="M32" s="13">
        <f t="shared" si="8"/>
        <v>0</v>
      </c>
      <c r="N32" s="13">
        <f t="shared" si="8"/>
        <v>0</v>
      </c>
      <c r="O32" s="13">
        <f t="shared" si="8"/>
        <v>0</v>
      </c>
      <c r="P32" s="13">
        <f t="shared" si="8"/>
        <v>0</v>
      </c>
      <c r="Q32" s="13">
        <f t="shared" si="8"/>
        <v>0</v>
      </c>
      <c r="R32" s="13">
        <f t="shared" si="8"/>
        <v>0</v>
      </c>
    </row>
    <row r="33" spans="1:18" x14ac:dyDescent="0.4">
      <c r="A33" s="259" t="s">
        <v>54</v>
      </c>
      <c r="B33" s="259"/>
      <c r="C33" s="259"/>
      <c r="D33" s="259"/>
      <c r="E33" s="259"/>
      <c r="F33" s="23">
        <f>F7+F21</f>
        <v>0</v>
      </c>
      <c r="G33" s="23">
        <f>G7+G21</f>
        <v>360269.9</v>
      </c>
      <c r="H33" s="23">
        <f>H7+H21+H30+H32</f>
        <v>1035039.9</v>
      </c>
      <c r="I33" s="23">
        <f>I7+I21+I23+I30+I32</f>
        <v>1023700</v>
      </c>
      <c r="J33" s="23">
        <f>J7+J21+J23+J30+J32</f>
        <v>448070</v>
      </c>
      <c r="K33" s="23">
        <f>K7+K21+K30+K32</f>
        <v>8700</v>
      </c>
      <c r="L33" s="23">
        <f>L7+L21+L30+L32</f>
        <v>8830</v>
      </c>
      <c r="M33" s="23">
        <f>M7+M21+M30+M32</f>
        <v>330580</v>
      </c>
      <c r="N33" s="23">
        <f>N7+N21+N30+N32</f>
        <v>445450</v>
      </c>
      <c r="O33" s="23">
        <f>O7+O21+O32</f>
        <v>67230</v>
      </c>
      <c r="P33" s="23">
        <f>P7+P21+P32</f>
        <v>4100</v>
      </c>
      <c r="Q33" s="23">
        <f>Q7+Q21+Q32</f>
        <v>4230</v>
      </c>
      <c r="R33" s="23">
        <f>R7+R21+R23+R30+R32</f>
        <v>3740799.8</v>
      </c>
    </row>
    <row r="34" spans="1:18" hidden="1" x14ac:dyDescent="0.4">
      <c r="A34" s="236" t="s">
        <v>55</v>
      </c>
      <c r="B34" s="238" t="s">
        <v>19</v>
      </c>
      <c r="C34" s="240" t="s">
        <v>55</v>
      </c>
      <c r="D34" s="238" t="s">
        <v>56</v>
      </c>
      <c r="E34" s="163" t="s">
        <v>57</v>
      </c>
      <c r="F34" s="9">
        <v>0</v>
      </c>
      <c r="G34" s="9"/>
      <c r="H34" s="9"/>
      <c r="I34" s="9">
        <v>0</v>
      </c>
      <c r="J34" s="9">
        <v>0</v>
      </c>
      <c r="K34" s="9">
        <v>0</v>
      </c>
      <c r="L34" s="9">
        <v>0</v>
      </c>
      <c r="M34" s="10">
        <v>0</v>
      </c>
      <c r="N34" s="9">
        <v>0</v>
      </c>
      <c r="O34" s="9">
        <v>0</v>
      </c>
      <c r="P34" s="9">
        <v>0</v>
      </c>
      <c r="Q34" s="9"/>
      <c r="R34" s="9">
        <f t="shared" ref="R34:R37" si="9">SUM(F34:Q34)</f>
        <v>0</v>
      </c>
    </row>
    <row r="35" spans="1:18" hidden="1" x14ac:dyDescent="0.4">
      <c r="A35" s="237"/>
      <c r="B35" s="242"/>
      <c r="C35" s="241"/>
      <c r="D35" s="239"/>
      <c r="E35" s="163" t="s">
        <v>58</v>
      </c>
      <c r="F35" s="9"/>
      <c r="G35" s="9"/>
      <c r="H35" s="9"/>
      <c r="I35" s="9"/>
      <c r="J35" s="9"/>
      <c r="K35" s="9"/>
      <c r="L35" s="9"/>
      <c r="M35" s="10"/>
      <c r="N35" s="9"/>
      <c r="O35" s="9"/>
      <c r="P35" s="9"/>
      <c r="Q35" s="9"/>
      <c r="R35" s="9">
        <f t="shared" si="9"/>
        <v>0</v>
      </c>
    </row>
    <row r="36" spans="1:18" x14ac:dyDescent="0.4">
      <c r="A36" s="237"/>
      <c r="B36" s="239"/>
      <c r="C36" s="241"/>
      <c r="D36" s="161" t="s">
        <v>55</v>
      </c>
      <c r="E36" s="163" t="s">
        <v>59</v>
      </c>
      <c r="F36" s="9">
        <v>0</v>
      </c>
      <c r="G36" s="9">
        <v>0</v>
      </c>
      <c r="H36" s="138">
        <f>15000*1.1765</f>
        <v>17647.5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f>SUM(F36:Q36)</f>
        <v>17647.5</v>
      </c>
    </row>
    <row r="37" spans="1:18" ht="17.399999999999999" hidden="1" customHeight="1" x14ac:dyDescent="0.4">
      <c r="A37" s="237"/>
      <c r="B37" s="238" t="s">
        <v>26</v>
      </c>
      <c r="C37" s="242"/>
      <c r="D37" s="238" t="s">
        <v>60</v>
      </c>
      <c r="E37" s="25" t="s">
        <v>61</v>
      </c>
      <c r="F37" s="9">
        <v>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>
        <f t="shared" si="9"/>
        <v>0</v>
      </c>
    </row>
    <row r="38" spans="1:18" x14ac:dyDescent="0.4">
      <c r="A38" s="237"/>
      <c r="B38" s="242"/>
      <c r="C38" s="242"/>
      <c r="D38" s="242"/>
      <c r="E38" s="25" t="s">
        <v>62</v>
      </c>
      <c r="F38" s="9">
        <v>0</v>
      </c>
      <c r="G38" s="9">
        <f>14110*1.1765</f>
        <v>16600.415000000001</v>
      </c>
      <c r="H38" s="9"/>
      <c r="I38" s="9"/>
      <c r="J38" s="9"/>
      <c r="K38" s="9"/>
      <c r="L38" s="9">
        <v>0</v>
      </c>
      <c r="M38" s="9">
        <v>0</v>
      </c>
      <c r="N38" s="9">
        <f>5215*1.1765+1</f>
        <v>6136.4475000000002</v>
      </c>
      <c r="O38" s="9">
        <f>20000*1.1765</f>
        <v>23530.000000000004</v>
      </c>
      <c r="P38" s="9">
        <v>0</v>
      </c>
      <c r="Q38" s="9">
        <v>0</v>
      </c>
      <c r="R38" s="9">
        <f>SUM(F38:Q38)</f>
        <v>46266.862500000003</v>
      </c>
    </row>
    <row r="39" spans="1:18" x14ac:dyDescent="0.4">
      <c r="A39" s="237"/>
      <c r="B39" s="242"/>
      <c r="C39" s="242"/>
      <c r="D39" s="239"/>
      <c r="E39" s="25" t="s">
        <v>122</v>
      </c>
      <c r="F39" s="9"/>
      <c r="G39" s="9"/>
      <c r="H39" s="9"/>
      <c r="I39" s="9"/>
      <c r="J39" s="9"/>
      <c r="K39" s="9"/>
      <c r="L39" s="9"/>
      <c r="M39" s="9">
        <f>40000*1.1765</f>
        <v>47060.000000000007</v>
      </c>
      <c r="N39" s="9"/>
      <c r="O39" s="9"/>
      <c r="P39" s="9"/>
      <c r="Q39" s="9">
        <v>0</v>
      </c>
      <c r="R39" s="9">
        <f t="shared" ref="R39:R52" si="10">SUM(F39:Q39)</f>
        <v>47060.000000000007</v>
      </c>
    </row>
    <row r="40" spans="1:18" ht="17.399999999999999" hidden="1" customHeight="1" x14ac:dyDescent="0.4">
      <c r="A40" s="237"/>
      <c r="B40" s="242"/>
      <c r="C40" s="242"/>
      <c r="D40" s="163" t="s">
        <v>63</v>
      </c>
      <c r="E40" s="25" t="s">
        <v>64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>
        <v>0</v>
      </c>
      <c r="R40" s="9">
        <f t="shared" si="10"/>
        <v>0</v>
      </c>
    </row>
    <row r="41" spans="1:18" ht="17.399999999999999" hidden="1" customHeight="1" x14ac:dyDescent="0.4">
      <c r="A41" s="237"/>
      <c r="B41" s="242"/>
      <c r="C41" s="242"/>
      <c r="D41" s="163" t="s">
        <v>65</v>
      </c>
      <c r="E41" s="25" t="s">
        <v>66</v>
      </c>
      <c r="F41" s="9"/>
      <c r="G41" s="9"/>
      <c r="H41" s="9"/>
      <c r="I41" s="9"/>
      <c r="J41" s="9"/>
      <c r="K41" s="9"/>
      <c r="L41" s="9"/>
      <c r="M41" s="9"/>
      <c r="N41" s="9"/>
      <c r="O41" s="26"/>
      <c r="P41" s="9"/>
      <c r="Q41" s="9">
        <v>0</v>
      </c>
      <c r="R41" s="9">
        <f t="shared" si="10"/>
        <v>0</v>
      </c>
    </row>
    <row r="42" spans="1:18" x14ac:dyDescent="0.4">
      <c r="A42" s="237"/>
      <c r="B42" s="242"/>
      <c r="C42" s="242"/>
      <c r="D42" s="163" t="s">
        <v>65</v>
      </c>
      <c r="E42" s="25" t="s">
        <v>67</v>
      </c>
      <c r="F42" s="9">
        <v>0</v>
      </c>
      <c r="G42" s="9">
        <f>1550*1.1765</f>
        <v>1823.575</v>
      </c>
      <c r="H42" s="9"/>
      <c r="I42" s="9"/>
      <c r="J42" s="9">
        <v>5883</v>
      </c>
      <c r="K42" s="9"/>
      <c r="L42" s="9"/>
      <c r="M42" s="9">
        <v>0</v>
      </c>
      <c r="N42" s="9">
        <f>5000*1.1765</f>
        <v>5882.5000000000009</v>
      </c>
      <c r="O42" s="9">
        <v>0</v>
      </c>
      <c r="P42" s="9">
        <v>0</v>
      </c>
      <c r="Q42" s="9">
        <v>0</v>
      </c>
      <c r="R42" s="9">
        <f t="shared" si="10"/>
        <v>13589.075000000001</v>
      </c>
    </row>
    <row r="43" spans="1:18" x14ac:dyDescent="0.4">
      <c r="A43" s="237"/>
      <c r="B43" s="242"/>
      <c r="C43" s="242"/>
      <c r="D43" s="238" t="s">
        <v>55</v>
      </c>
      <c r="E43" s="25" t="s">
        <v>137</v>
      </c>
      <c r="F43" s="9">
        <v>0</v>
      </c>
      <c r="G43" s="9">
        <v>0</v>
      </c>
      <c r="H43" s="9">
        <f>47000*1.1765</f>
        <v>55295.500000000007</v>
      </c>
      <c r="I43" s="9"/>
      <c r="J43" s="9"/>
      <c r="K43" s="9"/>
      <c r="L43" s="9"/>
      <c r="M43" s="9"/>
      <c r="N43" s="9"/>
      <c r="O43" s="9">
        <v>0</v>
      </c>
      <c r="P43" s="9">
        <v>0</v>
      </c>
      <c r="Q43" s="9">
        <v>0</v>
      </c>
      <c r="R43" s="9">
        <f t="shared" si="10"/>
        <v>55295.500000000007</v>
      </c>
    </row>
    <row r="44" spans="1:18" hidden="1" x14ac:dyDescent="0.4">
      <c r="A44" s="237"/>
      <c r="B44" s="242"/>
      <c r="C44" s="242"/>
      <c r="D44" s="239"/>
      <c r="E44" s="25" t="s">
        <v>122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>
        <f t="shared" si="10"/>
        <v>0</v>
      </c>
    </row>
    <row r="45" spans="1:18" x14ac:dyDescent="0.4">
      <c r="A45" s="237"/>
      <c r="B45" s="239"/>
      <c r="C45" s="242"/>
      <c r="D45" s="163" t="s">
        <v>68</v>
      </c>
      <c r="E45" s="25" t="s">
        <v>69</v>
      </c>
      <c r="F45" s="9">
        <v>0</v>
      </c>
      <c r="G45" s="169">
        <v>1172</v>
      </c>
      <c r="H45" s="138">
        <f>(2000*1.1765)+220+23</f>
        <v>2596</v>
      </c>
      <c r="I45" s="9">
        <v>0</v>
      </c>
      <c r="J45" s="9"/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f t="shared" si="10"/>
        <v>3768</v>
      </c>
    </row>
    <row r="46" spans="1:18" hidden="1" x14ac:dyDescent="0.4">
      <c r="A46" s="237"/>
      <c r="B46" s="162" t="s">
        <v>43</v>
      </c>
      <c r="C46" s="242"/>
      <c r="D46" s="163" t="s">
        <v>65</v>
      </c>
      <c r="E46" s="25" t="s">
        <v>70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>
        <v>0</v>
      </c>
      <c r="R46" s="9">
        <f t="shared" si="10"/>
        <v>0</v>
      </c>
    </row>
    <row r="47" spans="1:18" x14ac:dyDescent="0.4">
      <c r="A47" s="237"/>
      <c r="B47" s="238" t="s">
        <v>71</v>
      </c>
      <c r="C47" s="242"/>
      <c r="D47" s="163" t="s">
        <v>65</v>
      </c>
      <c r="E47" s="25" t="s">
        <v>142</v>
      </c>
      <c r="F47" s="9">
        <v>0</v>
      </c>
      <c r="G47" s="9">
        <f>1800*1.1765</f>
        <v>2117.7000000000003</v>
      </c>
      <c r="H47" s="138">
        <v>0</v>
      </c>
      <c r="I47" s="9"/>
      <c r="J47" s="9"/>
      <c r="K47" s="9"/>
      <c r="L47" s="9"/>
      <c r="M47" s="9"/>
      <c r="N47" s="9">
        <f>3000*1.1765</f>
        <v>3529.5000000000005</v>
      </c>
      <c r="O47" s="9">
        <f>6590*1.1765-3</f>
        <v>7750.1350000000002</v>
      </c>
      <c r="P47" s="9">
        <v>0</v>
      </c>
      <c r="Q47" s="9">
        <v>0</v>
      </c>
      <c r="R47" s="9">
        <f t="shared" si="10"/>
        <v>13397.335000000001</v>
      </c>
    </row>
    <row r="48" spans="1:18" x14ac:dyDescent="0.4">
      <c r="A48" s="237"/>
      <c r="B48" s="239"/>
      <c r="C48" s="242"/>
      <c r="D48" s="163" t="s">
        <v>141</v>
      </c>
      <c r="E48" s="25" t="s">
        <v>143</v>
      </c>
      <c r="F48" s="9">
        <v>0</v>
      </c>
      <c r="G48" s="9"/>
      <c r="H48" s="9">
        <v>5360</v>
      </c>
      <c r="I48" s="9">
        <v>8400</v>
      </c>
      <c r="J48" s="9"/>
      <c r="K48" s="9"/>
      <c r="L48" s="9"/>
      <c r="M48" s="9">
        <f>5000</f>
        <v>5000</v>
      </c>
      <c r="N48" s="9"/>
      <c r="O48" s="9"/>
      <c r="P48" s="9">
        <v>0</v>
      </c>
      <c r="Q48" s="9">
        <v>0</v>
      </c>
      <c r="R48" s="9">
        <f t="shared" ref="R48" si="11">SUM(F48:Q48)</f>
        <v>18760</v>
      </c>
    </row>
    <row r="49" spans="1:18" x14ac:dyDescent="0.4">
      <c r="A49" s="237"/>
      <c r="B49" s="238" t="s">
        <v>72</v>
      </c>
      <c r="C49" s="242"/>
      <c r="D49" s="27" t="s">
        <v>73</v>
      </c>
      <c r="E49" s="163" t="s">
        <v>74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9">
        <v>0</v>
      </c>
      <c r="Q49" s="15">
        <f>24000*1.1765</f>
        <v>28236.000000000004</v>
      </c>
      <c r="R49" s="9">
        <f t="shared" si="10"/>
        <v>28236.000000000004</v>
      </c>
    </row>
    <row r="50" spans="1:18" x14ac:dyDescent="0.4">
      <c r="A50" s="237"/>
      <c r="B50" s="242"/>
      <c r="C50" s="242"/>
      <c r="D50" s="240" t="s">
        <v>75</v>
      </c>
      <c r="E50" s="163" t="s">
        <v>136</v>
      </c>
      <c r="F50" s="9">
        <v>0</v>
      </c>
      <c r="G50" s="9">
        <v>0</v>
      </c>
      <c r="H50" s="138">
        <v>6420</v>
      </c>
      <c r="I50" s="9">
        <v>0</v>
      </c>
      <c r="J50" s="9"/>
      <c r="K50" s="15">
        <v>0</v>
      </c>
      <c r="L50" s="15">
        <v>0</v>
      </c>
      <c r="M50" s="15">
        <v>0</v>
      </c>
      <c r="N50" s="15">
        <v>0</v>
      </c>
      <c r="O50" s="9">
        <v>0</v>
      </c>
      <c r="P50" s="9">
        <f>80*60</f>
        <v>4800</v>
      </c>
      <c r="Q50" s="9">
        <f>60*60</f>
        <v>3600</v>
      </c>
      <c r="R50" s="9">
        <f t="shared" si="10"/>
        <v>14820</v>
      </c>
    </row>
    <row r="51" spans="1:18" x14ac:dyDescent="0.4">
      <c r="A51" s="237"/>
      <c r="B51" s="242"/>
      <c r="C51" s="242"/>
      <c r="D51" s="241"/>
      <c r="E51" s="163" t="s">
        <v>76</v>
      </c>
      <c r="F51" s="9">
        <v>0</v>
      </c>
      <c r="G51" s="9">
        <v>360</v>
      </c>
      <c r="H51" s="9">
        <v>0</v>
      </c>
      <c r="I51" s="9">
        <v>0</v>
      </c>
      <c r="J51" s="9">
        <v>0</v>
      </c>
      <c r="K51" s="15">
        <v>0</v>
      </c>
      <c r="L51" s="15"/>
      <c r="M51" s="15">
        <v>0</v>
      </c>
      <c r="N51" s="15">
        <v>0</v>
      </c>
      <c r="O51" s="9">
        <v>0</v>
      </c>
      <c r="P51" s="9">
        <v>0</v>
      </c>
      <c r="Q51" s="9">
        <v>0</v>
      </c>
      <c r="R51" s="9">
        <f t="shared" si="10"/>
        <v>360</v>
      </c>
    </row>
    <row r="52" spans="1:18" hidden="1" x14ac:dyDescent="0.4">
      <c r="A52" s="260"/>
      <c r="B52" s="239"/>
      <c r="C52" s="239"/>
      <c r="D52" s="244"/>
      <c r="E52" s="163" t="s">
        <v>77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15">
        <v>0</v>
      </c>
      <c r="L52" s="15"/>
      <c r="M52" s="15">
        <v>0</v>
      </c>
      <c r="N52" s="15">
        <v>0</v>
      </c>
      <c r="O52" s="9">
        <v>0</v>
      </c>
      <c r="P52" s="9">
        <v>0</v>
      </c>
      <c r="Q52" s="9">
        <v>0</v>
      </c>
      <c r="R52" s="9">
        <f t="shared" si="10"/>
        <v>0</v>
      </c>
    </row>
    <row r="53" spans="1:18" x14ac:dyDescent="0.4">
      <c r="A53" s="245" t="s">
        <v>78</v>
      </c>
      <c r="B53" s="245"/>
      <c r="C53" s="245"/>
      <c r="D53" s="245"/>
      <c r="E53" s="245"/>
      <c r="F53" s="28">
        <f>SUM(F34:F49)</f>
        <v>0</v>
      </c>
      <c r="G53" s="28">
        <f t="shared" ref="G53:R53" si="12">SUM(G34:G52)</f>
        <v>22073.690000000002</v>
      </c>
      <c r="H53" s="28">
        <f t="shared" si="12"/>
        <v>87319</v>
      </c>
      <c r="I53" s="28">
        <f t="shared" si="12"/>
        <v>8400</v>
      </c>
      <c r="J53" s="28">
        <f t="shared" si="12"/>
        <v>5883</v>
      </c>
      <c r="K53" s="28">
        <f t="shared" si="12"/>
        <v>0</v>
      </c>
      <c r="L53" s="28">
        <f t="shared" si="12"/>
        <v>0</v>
      </c>
      <c r="M53" s="28">
        <f t="shared" si="12"/>
        <v>52060.000000000007</v>
      </c>
      <c r="N53" s="29">
        <f t="shared" si="12"/>
        <v>15548.447500000002</v>
      </c>
      <c r="O53" s="28">
        <f t="shared" si="12"/>
        <v>31280.135000000002</v>
      </c>
      <c r="P53" s="28">
        <f t="shared" si="12"/>
        <v>4800</v>
      </c>
      <c r="Q53" s="28">
        <f t="shared" si="12"/>
        <v>31836.000000000004</v>
      </c>
      <c r="R53" s="30">
        <f t="shared" si="12"/>
        <v>259200.27250000002</v>
      </c>
    </row>
    <row r="54" spans="1:18" x14ac:dyDescent="0.4">
      <c r="A54" s="246" t="s">
        <v>79</v>
      </c>
      <c r="B54" s="246"/>
      <c r="C54" s="246"/>
      <c r="D54" s="246"/>
      <c r="E54" s="246"/>
      <c r="F54" s="31">
        <f>SUM(F33,F53)</f>
        <v>0</v>
      </c>
      <c r="G54" s="31">
        <f t="shared" ref="G54:O54" si="13">G33+G53</f>
        <v>382343.59</v>
      </c>
      <c r="H54" s="31">
        <f t="shared" si="13"/>
        <v>1122358.8999999999</v>
      </c>
      <c r="I54" s="31">
        <f t="shared" si="13"/>
        <v>1032100</v>
      </c>
      <c r="J54" s="31">
        <f t="shared" si="13"/>
        <v>453953</v>
      </c>
      <c r="K54" s="31">
        <f t="shared" si="13"/>
        <v>8700</v>
      </c>
      <c r="L54" s="31">
        <f t="shared" si="13"/>
        <v>8830</v>
      </c>
      <c r="M54" s="31">
        <f t="shared" si="13"/>
        <v>382640</v>
      </c>
      <c r="N54" s="31">
        <f t="shared" si="13"/>
        <v>460998.44750000001</v>
      </c>
      <c r="O54" s="31">
        <f t="shared" si="13"/>
        <v>98510.135000000009</v>
      </c>
      <c r="P54" s="31">
        <f>SUM(P33,P53)</f>
        <v>8900</v>
      </c>
      <c r="Q54" s="31">
        <f>SUM(Q33,Q53)</f>
        <v>36066</v>
      </c>
      <c r="R54" s="31">
        <f>R33+R53</f>
        <v>4000000.0724999998</v>
      </c>
    </row>
    <row r="55" spans="1:18" x14ac:dyDescent="0.4">
      <c r="A55" s="234" t="s">
        <v>80</v>
      </c>
      <c r="B55" s="234"/>
      <c r="C55" s="234"/>
      <c r="D55" s="234"/>
      <c r="E55" s="234"/>
      <c r="F55" s="32">
        <f>F33+F53</f>
        <v>0</v>
      </c>
      <c r="G55" s="32">
        <f>G33+G53</f>
        <v>382343.59</v>
      </c>
      <c r="H55" s="32">
        <f>SUM(H54:H54)</f>
        <v>1122358.8999999999</v>
      </c>
      <c r="I55" s="32">
        <f>SUM(I54:I54)</f>
        <v>1032100</v>
      </c>
      <c r="J55" s="32">
        <f t="shared" ref="J55:Q55" si="14">SUM(J54:J54)</f>
        <v>453953</v>
      </c>
      <c r="K55" s="32">
        <f t="shared" si="14"/>
        <v>8700</v>
      </c>
      <c r="L55" s="32">
        <f t="shared" si="14"/>
        <v>8830</v>
      </c>
      <c r="M55" s="32">
        <f t="shared" si="14"/>
        <v>382640</v>
      </c>
      <c r="N55" s="32">
        <f t="shared" si="14"/>
        <v>460998.44750000001</v>
      </c>
      <c r="O55" s="32">
        <f t="shared" si="14"/>
        <v>98510.135000000009</v>
      </c>
      <c r="P55" s="32">
        <f t="shared" si="14"/>
        <v>8900</v>
      </c>
      <c r="Q55" s="32">
        <f t="shared" si="14"/>
        <v>36066</v>
      </c>
      <c r="R55" s="32">
        <f>R33+R53</f>
        <v>4000000.0724999998</v>
      </c>
    </row>
    <row r="56" spans="1:18" ht="69" customHeight="1" x14ac:dyDescent="0.4">
      <c r="A56" s="235" t="s">
        <v>81</v>
      </c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</row>
    <row r="57" spans="1:18" x14ac:dyDescent="0.4"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1:18" x14ac:dyDescent="0.4">
      <c r="A58" s="136" t="s">
        <v>82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</row>
    <row r="59" spans="1:18" hidden="1" x14ac:dyDescent="0.4">
      <c r="A59" s="236" t="s">
        <v>55</v>
      </c>
      <c r="B59" s="238" t="s">
        <v>19</v>
      </c>
      <c r="C59" s="240" t="s">
        <v>55</v>
      </c>
      <c r="D59" s="163" t="s">
        <v>56</v>
      </c>
      <c r="E59" s="163" t="s">
        <v>57</v>
      </c>
      <c r="F59" s="9">
        <v>0</v>
      </c>
      <c r="G59" s="15">
        <v>0</v>
      </c>
      <c r="H59" s="9"/>
      <c r="I59" s="9">
        <v>0</v>
      </c>
      <c r="J59" s="9">
        <v>0</v>
      </c>
      <c r="K59" s="9">
        <v>0</v>
      </c>
      <c r="L59" s="9">
        <v>0</v>
      </c>
      <c r="M59" s="15">
        <v>0</v>
      </c>
      <c r="N59" s="9">
        <v>0</v>
      </c>
      <c r="O59" s="9">
        <v>0</v>
      </c>
      <c r="P59" s="9">
        <v>0</v>
      </c>
      <c r="Q59" s="9"/>
      <c r="R59" s="9">
        <f t="shared" ref="R59:R61" si="15">SUM(F59:Q59)</f>
        <v>0</v>
      </c>
    </row>
    <row r="60" spans="1:18" x14ac:dyDescent="0.4">
      <c r="A60" s="237"/>
      <c r="B60" s="239"/>
      <c r="C60" s="241"/>
      <c r="D60" s="163" t="s">
        <v>55</v>
      </c>
      <c r="E60" s="163" t="s">
        <v>59</v>
      </c>
      <c r="F60" s="9"/>
      <c r="G60" s="15"/>
      <c r="H60" s="138">
        <f>15000</f>
        <v>15000</v>
      </c>
      <c r="I60" s="9"/>
      <c r="J60" s="9"/>
      <c r="K60" s="9"/>
      <c r="L60" s="9"/>
      <c r="M60" s="15"/>
      <c r="N60" s="9"/>
      <c r="O60" s="9"/>
      <c r="P60" s="9"/>
      <c r="Q60" s="9"/>
      <c r="R60" s="9">
        <f t="shared" si="15"/>
        <v>15000</v>
      </c>
    </row>
    <row r="61" spans="1:18" ht="17.399999999999999" hidden="1" customHeight="1" x14ac:dyDescent="0.4">
      <c r="A61" s="237"/>
      <c r="B61" s="243" t="s">
        <v>26</v>
      </c>
      <c r="C61" s="242"/>
      <c r="D61" s="238" t="s">
        <v>60</v>
      </c>
      <c r="E61" s="25" t="s">
        <v>61</v>
      </c>
      <c r="F61" s="9"/>
      <c r="G61" s="15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f t="shared" si="15"/>
        <v>0</v>
      </c>
    </row>
    <row r="62" spans="1:18" x14ac:dyDescent="0.4">
      <c r="A62" s="237"/>
      <c r="B62" s="243"/>
      <c r="C62" s="242"/>
      <c r="D62" s="242"/>
      <c r="E62" s="25" t="s">
        <v>83</v>
      </c>
      <c r="F62" s="9">
        <v>0</v>
      </c>
      <c r="G62" s="9">
        <v>14110</v>
      </c>
      <c r="H62" s="9"/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5215</v>
      </c>
      <c r="O62" s="9">
        <v>20000</v>
      </c>
      <c r="P62" s="9">
        <v>0</v>
      </c>
      <c r="Q62" s="9">
        <v>0</v>
      </c>
      <c r="R62" s="9">
        <f>SUM(F62:Q62)</f>
        <v>39325</v>
      </c>
    </row>
    <row r="63" spans="1:18" x14ac:dyDescent="0.4">
      <c r="A63" s="237"/>
      <c r="B63" s="243"/>
      <c r="C63" s="242"/>
      <c r="D63" s="239"/>
      <c r="E63" s="25" t="s">
        <v>122</v>
      </c>
      <c r="F63" s="9"/>
      <c r="G63" s="9"/>
      <c r="H63" s="9"/>
      <c r="I63" s="9"/>
      <c r="J63" s="9"/>
      <c r="K63" s="9"/>
      <c r="L63" s="9"/>
      <c r="M63" s="9">
        <v>40000</v>
      </c>
      <c r="N63" s="9"/>
      <c r="O63" s="9"/>
      <c r="P63" s="9"/>
      <c r="Q63" s="9"/>
      <c r="R63" s="9">
        <f>SUM(F63:Q63)</f>
        <v>40000</v>
      </c>
    </row>
    <row r="64" spans="1:18" hidden="1" x14ac:dyDescent="0.4">
      <c r="A64" s="237"/>
      <c r="B64" s="243"/>
      <c r="C64" s="242"/>
      <c r="D64" s="163" t="s">
        <v>63</v>
      </c>
      <c r="E64" s="25" t="s">
        <v>64</v>
      </c>
      <c r="F64" s="9">
        <v>0</v>
      </c>
      <c r="G64" s="9"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>
        <f t="shared" ref="R64:R76" si="16">SUM(F64:Q64)</f>
        <v>0</v>
      </c>
    </row>
    <row r="65" spans="1:18" hidden="1" x14ac:dyDescent="0.4">
      <c r="A65" s="237"/>
      <c r="B65" s="243"/>
      <c r="C65" s="242"/>
      <c r="D65" s="163" t="s">
        <v>65</v>
      </c>
      <c r="E65" s="25" t="s">
        <v>66</v>
      </c>
      <c r="F65" s="9"/>
      <c r="G65" s="9"/>
      <c r="H65" s="9"/>
      <c r="I65" s="9"/>
      <c r="J65" s="9"/>
      <c r="K65" s="9"/>
      <c r="L65" s="9"/>
      <c r="M65" s="9"/>
      <c r="N65" s="9"/>
      <c r="O65" s="26"/>
      <c r="P65" s="9"/>
      <c r="Q65" s="9"/>
      <c r="R65" s="9">
        <f t="shared" si="16"/>
        <v>0</v>
      </c>
    </row>
    <row r="66" spans="1:18" x14ac:dyDescent="0.4">
      <c r="A66" s="237"/>
      <c r="B66" s="243"/>
      <c r="C66" s="242"/>
      <c r="D66" s="163" t="s">
        <v>65</v>
      </c>
      <c r="E66" s="25" t="s">
        <v>67</v>
      </c>
      <c r="F66" s="9">
        <v>0</v>
      </c>
      <c r="G66" s="9">
        <v>1550</v>
      </c>
      <c r="H66" s="9"/>
      <c r="I66" s="9"/>
      <c r="J66" s="9">
        <f>4899+4+16</f>
        <v>4919</v>
      </c>
      <c r="K66" s="9"/>
      <c r="L66" s="9"/>
      <c r="M66" s="9">
        <v>0</v>
      </c>
      <c r="N66" s="9">
        <f>5000</f>
        <v>5000</v>
      </c>
      <c r="O66" s="9">
        <v>0</v>
      </c>
      <c r="P66" s="9">
        <v>0</v>
      </c>
      <c r="Q66" s="9"/>
      <c r="R66" s="9">
        <f>SUM(F66:Q66)</f>
        <v>11469</v>
      </c>
    </row>
    <row r="67" spans="1:18" x14ac:dyDescent="0.4">
      <c r="A67" s="237"/>
      <c r="B67" s="243"/>
      <c r="C67" s="242"/>
      <c r="D67" s="238" t="s">
        <v>55</v>
      </c>
      <c r="E67" s="25" t="s">
        <v>137</v>
      </c>
      <c r="F67" s="9">
        <v>0</v>
      </c>
      <c r="G67" s="9">
        <v>0</v>
      </c>
      <c r="H67" s="9">
        <v>47000</v>
      </c>
      <c r="I67" s="9"/>
      <c r="J67" s="9"/>
      <c r="K67" s="9"/>
      <c r="L67" s="9"/>
      <c r="M67" s="9">
        <v>0</v>
      </c>
      <c r="N67" s="9"/>
      <c r="O67" s="9">
        <v>0</v>
      </c>
      <c r="P67" s="9">
        <v>0</v>
      </c>
      <c r="Q67" s="9"/>
      <c r="R67" s="9">
        <f>SUM(F67:Q67)</f>
        <v>47000</v>
      </c>
    </row>
    <row r="68" spans="1:18" hidden="1" x14ac:dyDescent="0.4">
      <c r="A68" s="237"/>
      <c r="B68" s="243"/>
      <c r="C68" s="242"/>
      <c r="D68" s="239"/>
      <c r="E68" s="25" t="s">
        <v>139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>
        <f>SUM(F68:Q68)</f>
        <v>0</v>
      </c>
    </row>
    <row r="69" spans="1:18" x14ac:dyDescent="0.4">
      <c r="A69" s="237"/>
      <c r="B69" s="243"/>
      <c r="C69" s="242"/>
      <c r="D69" s="163" t="s">
        <v>68</v>
      </c>
      <c r="E69" s="25" t="s">
        <v>69</v>
      </c>
      <c r="F69" s="15">
        <v>0</v>
      </c>
      <c r="G69" s="169">
        <v>1172</v>
      </c>
      <c r="H69" s="138">
        <v>2220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f>SUM(F69:Q69)</f>
        <v>3392</v>
      </c>
    </row>
    <row r="70" spans="1:18" hidden="1" x14ac:dyDescent="0.4">
      <c r="A70" s="237"/>
      <c r="B70" s="162" t="s">
        <v>43</v>
      </c>
      <c r="C70" s="242"/>
      <c r="D70" s="163" t="s">
        <v>65</v>
      </c>
      <c r="E70" s="25" t="s">
        <v>70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>
        <f t="shared" si="16"/>
        <v>0</v>
      </c>
    </row>
    <row r="71" spans="1:18" x14ac:dyDescent="0.4">
      <c r="A71" s="237"/>
      <c r="B71" s="238" t="s">
        <v>71</v>
      </c>
      <c r="C71" s="242"/>
      <c r="D71" s="163" t="s">
        <v>65</v>
      </c>
      <c r="E71" s="25" t="s">
        <v>142</v>
      </c>
      <c r="F71" s="9">
        <v>0</v>
      </c>
      <c r="G71" s="9">
        <v>1800</v>
      </c>
      <c r="H71" s="138">
        <v>0</v>
      </c>
      <c r="I71" s="9"/>
      <c r="J71" s="9"/>
      <c r="K71" s="9"/>
      <c r="L71" s="9"/>
      <c r="M71" s="9"/>
      <c r="N71" s="9">
        <v>3000</v>
      </c>
      <c r="O71" s="9">
        <f>6590-3</f>
        <v>6587</v>
      </c>
      <c r="P71" s="9"/>
      <c r="Q71" s="9">
        <v>0</v>
      </c>
      <c r="R71" s="9">
        <f t="shared" si="16"/>
        <v>11387</v>
      </c>
    </row>
    <row r="72" spans="1:18" x14ac:dyDescent="0.4">
      <c r="A72" s="237"/>
      <c r="B72" s="239"/>
      <c r="C72" s="242"/>
      <c r="D72" s="163" t="s">
        <v>141</v>
      </c>
      <c r="E72" s="25" t="s">
        <v>143</v>
      </c>
      <c r="F72" s="9">
        <v>0</v>
      </c>
      <c r="G72" s="9"/>
      <c r="H72" s="9">
        <v>5360</v>
      </c>
      <c r="I72" s="9">
        <v>8400</v>
      </c>
      <c r="J72" s="9"/>
      <c r="K72" s="9"/>
      <c r="L72" s="9"/>
      <c r="M72" s="9">
        <f>5000</f>
        <v>5000</v>
      </c>
      <c r="N72" s="9"/>
      <c r="O72" s="9"/>
      <c r="P72" s="9"/>
      <c r="Q72" s="9">
        <v>0</v>
      </c>
      <c r="R72" s="9">
        <f t="shared" si="16"/>
        <v>18760</v>
      </c>
    </row>
    <row r="73" spans="1:18" x14ac:dyDescent="0.4">
      <c r="A73" s="237"/>
      <c r="B73" s="238" t="s">
        <v>72</v>
      </c>
      <c r="C73" s="242"/>
      <c r="D73" s="27" t="s">
        <v>73</v>
      </c>
      <c r="E73" s="163" t="s">
        <v>74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24000</v>
      </c>
      <c r="R73" s="9">
        <f t="shared" si="16"/>
        <v>24000</v>
      </c>
    </row>
    <row r="74" spans="1:18" x14ac:dyDescent="0.4">
      <c r="A74" s="237"/>
      <c r="B74" s="242"/>
      <c r="C74" s="242"/>
      <c r="D74" s="240" t="s">
        <v>75</v>
      </c>
      <c r="E74" s="163" t="s">
        <v>123</v>
      </c>
      <c r="F74" s="9">
        <v>0</v>
      </c>
      <c r="G74" s="9">
        <v>0</v>
      </c>
      <c r="H74" s="138">
        <v>6540</v>
      </c>
      <c r="I74" s="9">
        <v>0</v>
      </c>
      <c r="J74" s="9"/>
      <c r="K74" s="15">
        <v>0</v>
      </c>
      <c r="L74" s="15">
        <v>0</v>
      </c>
      <c r="M74" s="15">
        <v>0</v>
      </c>
      <c r="N74" s="15">
        <v>0</v>
      </c>
      <c r="O74" s="9">
        <v>0</v>
      </c>
      <c r="P74" s="9">
        <f>80*60</f>
        <v>4800</v>
      </c>
      <c r="Q74" s="9">
        <f>60*60</f>
        <v>3600</v>
      </c>
      <c r="R74" s="9">
        <f t="shared" si="16"/>
        <v>14940</v>
      </c>
    </row>
    <row r="75" spans="1:18" x14ac:dyDescent="0.4">
      <c r="A75" s="237"/>
      <c r="B75" s="242"/>
      <c r="C75" s="242"/>
      <c r="D75" s="241"/>
      <c r="E75" s="163" t="s">
        <v>76</v>
      </c>
      <c r="F75" s="9">
        <v>0</v>
      </c>
      <c r="G75" s="9">
        <v>360</v>
      </c>
      <c r="H75" s="9">
        <v>0</v>
      </c>
      <c r="I75" s="9">
        <v>0</v>
      </c>
      <c r="J75" s="9">
        <v>0</v>
      </c>
      <c r="K75" s="15">
        <v>0</v>
      </c>
      <c r="L75" s="15">
        <v>0</v>
      </c>
      <c r="M75" s="15">
        <v>0</v>
      </c>
      <c r="N75" s="15">
        <v>0</v>
      </c>
      <c r="O75" s="9">
        <v>0</v>
      </c>
      <c r="P75" s="9">
        <v>0</v>
      </c>
      <c r="Q75" s="9">
        <v>0</v>
      </c>
      <c r="R75" s="9">
        <f t="shared" si="16"/>
        <v>360</v>
      </c>
    </row>
    <row r="76" spans="1:18" hidden="1" x14ac:dyDescent="0.4">
      <c r="A76" s="237"/>
      <c r="B76" s="239"/>
      <c r="C76" s="239"/>
      <c r="D76" s="244"/>
      <c r="E76" s="163" t="s">
        <v>77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15">
        <v>0</v>
      </c>
      <c r="L76" s="15">
        <v>0</v>
      </c>
      <c r="M76" s="15">
        <v>0</v>
      </c>
      <c r="N76" s="15">
        <v>0</v>
      </c>
      <c r="O76" s="9">
        <v>0</v>
      </c>
      <c r="P76" s="9">
        <v>0</v>
      </c>
      <c r="Q76" s="9">
        <v>0</v>
      </c>
      <c r="R76" s="9">
        <f t="shared" si="16"/>
        <v>0</v>
      </c>
    </row>
    <row r="77" spans="1:18" ht="17.399999999999999" customHeight="1" x14ac:dyDescent="0.4">
      <c r="A77" s="247" t="s">
        <v>78</v>
      </c>
      <c r="B77" s="248"/>
      <c r="C77" s="248"/>
      <c r="D77" s="248"/>
      <c r="E77" s="249"/>
      <c r="F77" s="28">
        <f t="shared" ref="F77:Q77" si="17">SUM(F59:F76)</f>
        <v>0</v>
      </c>
      <c r="G77" s="28">
        <f t="shared" si="17"/>
        <v>18992</v>
      </c>
      <c r="H77" s="28">
        <f>SUM(H59:H76)</f>
        <v>76120</v>
      </c>
      <c r="I77" s="28">
        <f>SUM(I59:I76)</f>
        <v>8400</v>
      </c>
      <c r="J77" s="28">
        <f t="shared" si="17"/>
        <v>4919</v>
      </c>
      <c r="K77" s="28">
        <f t="shared" si="17"/>
        <v>0</v>
      </c>
      <c r="L77" s="28">
        <f t="shared" si="17"/>
        <v>0</v>
      </c>
      <c r="M77" s="28">
        <f t="shared" si="17"/>
        <v>45000</v>
      </c>
      <c r="N77" s="28">
        <f t="shared" si="17"/>
        <v>13215</v>
      </c>
      <c r="O77" s="28">
        <f t="shared" si="17"/>
        <v>26587</v>
      </c>
      <c r="P77" s="28">
        <f t="shared" si="17"/>
        <v>4800</v>
      </c>
      <c r="Q77" s="28">
        <f t="shared" si="17"/>
        <v>27600</v>
      </c>
      <c r="R77" s="30">
        <f>SUM(R59:R76)</f>
        <v>225633</v>
      </c>
    </row>
    <row r="78" spans="1:18" x14ac:dyDescent="0.4">
      <c r="A78" s="250" t="s">
        <v>84</v>
      </c>
      <c r="B78" s="251"/>
      <c r="C78" s="251"/>
      <c r="D78" s="251"/>
      <c r="E78" s="252"/>
      <c r="F78" s="35">
        <f>SUM(F60:F67)*17.65%+F71*17.65%+F73*17.65%</f>
        <v>0</v>
      </c>
      <c r="G78" s="35">
        <f>SUM(G60:G67)*17.65%+G71*17.65%+G73*17.65%</f>
        <v>3081.6899999999996</v>
      </c>
      <c r="H78" s="35">
        <f>(SUM(H60:H69)-220)*17.65%+H71*17.65%+H73*17.65%</f>
        <v>11296</v>
      </c>
      <c r="I78" s="35">
        <f t="shared" ref="I78:Q78" si="18">SUM(I60:I67)*17.65%+I71*17.65%+I73*17.65%</f>
        <v>0</v>
      </c>
      <c r="J78" s="35">
        <f t="shared" si="18"/>
        <v>868.20349999999996</v>
      </c>
      <c r="K78" s="35">
        <f t="shared" si="18"/>
        <v>0</v>
      </c>
      <c r="L78" s="35">
        <f t="shared" si="18"/>
        <v>0</v>
      </c>
      <c r="M78" s="35">
        <f t="shared" si="18"/>
        <v>7060</v>
      </c>
      <c r="N78" s="35">
        <f t="shared" si="18"/>
        <v>2332.4475000000002</v>
      </c>
      <c r="O78" s="35">
        <f t="shared" si="18"/>
        <v>4692.6054999999997</v>
      </c>
      <c r="P78" s="35">
        <f t="shared" si="18"/>
        <v>0</v>
      </c>
      <c r="Q78" s="35">
        <f t="shared" si="18"/>
        <v>4236</v>
      </c>
      <c r="R78" s="35">
        <f>SUM(F78:Q78)</f>
        <v>33566.946499999998</v>
      </c>
    </row>
    <row r="79" spans="1:18" x14ac:dyDescent="0.4">
      <c r="A79" s="234" t="s">
        <v>85</v>
      </c>
      <c r="B79" s="234"/>
      <c r="C79" s="234"/>
      <c r="D79" s="234"/>
      <c r="E79" s="234"/>
      <c r="F79" s="36">
        <f>F77+F78</f>
        <v>0</v>
      </c>
      <c r="G79" s="36">
        <f t="shared" ref="G79:Q79" si="19">G77+G78</f>
        <v>22073.69</v>
      </c>
      <c r="H79" s="36">
        <f>H77+H78</f>
        <v>87416</v>
      </c>
      <c r="I79" s="36">
        <f t="shared" si="19"/>
        <v>8400</v>
      </c>
      <c r="J79" s="36">
        <f>J77+J78-1</f>
        <v>5786.2034999999996</v>
      </c>
      <c r="K79" s="36">
        <f t="shared" si="19"/>
        <v>0</v>
      </c>
      <c r="L79" s="36">
        <f>L77+L78</f>
        <v>0</v>
      </c>
      <c r="M79" s="36">
        <f t="shared" si="19"/>
        <v>52060</v>
      </c>
      <c r="N79" s="36">
        <f t="shared" si="19"/>
        <v>15547.4475</v>
      </c>
      <c r="O79" s="36">
        <f t="shared" si="19"/>
        <v>31279.605499999998</v>
      </c>
      <c r="P79" s="36">
        <f t="shared" si="19"/>
        <v>4800</v>
      </c>
      <c r="Q79" s="36">
        <f t="shared" si="19"/>
        <v>31836</v>
      </c>
      <c r="R79" s="36">
        <f>R77+R78</f>
        <v>259199.94649999999</v>
      </c>
    </row>
    <row r="80" spans="1:18" x14ac:dyDescent="0.4">
      <c r="H80" s="33"/>
      <c r="I80" s="33"/>
      <c r="J80" s="33"/>
      <c r="K80" s="33"/>
      <c r="L80" s="33"/>
      <c r="M80" s="33"/>
      <c r="N80" s="33"/>
      <c r="O80" s="33"/>
      <c r="P80" s="33"/>
    </row>
    <row r="81" spans="6:18" hidden="1" x14ac:dyDescent="0.4">
      <c r="L81" s="35"/>
      <c r="M81" s="35"/>
      <c r="N81" s="33"/>
    </row>
    <row r="82" spans="6:18" hidden="1" x14ac:dyDescent="0.4">
      <c r="O82" s="37"/>
    </row>
    <row r="83" spans="6:18" hidden="1" x14ac:dyDescent="0.4">
      <c r="O83" s="37"/>
      <c r="P83" s="33"/>
      <c r="R83" s="33"/>
    </row>
    <row r="84" spans="6:18" hidden="1" x14ac:dyDescent="0.4">
      <c r="O84" s="37"/>
    </row>
    <row r="85" spans="6:18" hidden="1" x14ac:dyDescent="0.4">
      <c r="F85" s="37"/>
      <c r="O85" s="33"/>
    </row>
    <row r="87" spans="6:18" x14ac:dyDescent="0.4">
      <c r="F87" s="34"/>
      <c r="H87" s="34"/>
    </row>
    <row r="88" spans="6:18" x14ac:dyDescent="0.4">
      <c r="I88" s="154"/>
    </row>
  </sheetData>
  <mergeCells count="48">
    <mergeCell ref="A1:F1"/>
    <mergeCell ref="A3:D3"/>
    <mergeCell ref="A4:E4"/>
    <mergeCell ref="A5:A32"/>
    <mergeCell ref="B5:B6"/>
    <mergeCell ref="C5:C6"/>
    <mergeCell ref="B7:E7"/>
    <mergeCell ref="B8:B20"/>
    <mergeCell ref="C8:C11"/>
    <mergeCell ref="D8:D10"/>
    <mergeCell ref="C12:C16"/>
    <mergeCell ref="C17:C20"/>
    <mergeCell ref="B21:E21"/>
    <mergeCell ref="B23:E23"/>
    <mergeCell ref="B24:B29"/>
    <mergeCell ref="C24:C27"/>
    <mergeCell ref="D24:D27"/>
    <mergeCell ref="C28:C29"/>
    <mergeCell ref="D28:D29"/>
    <mergeCell ref="A55:E55"/>
    <mergeCell ref="B30:E30"/>
    <mergeCell ref="B32:E32"/>
    <mergeCell ref="A33:E33"/>
    <mergeCell ref="A34:A52"/>
    <mergeCell ref="B34:B36"/>
    <mergeCell ref="C34:C52"/>
    <mergeCell ref="D34:D35"/>
    <mergeCell ref="B37:B45"/>
    <mergeCell ref="D37:D39"/>
    <mergeCell ref="D43:D44"/>
    <mergeCell ref="B47:B48"/>
    <mergeCell ref="B49:B52"/>
    <mergeCell ref="D50:D52"/>
    <mergeCell ref="A53:E53"/>
    <mergeCell ref="A54:E54"/>
    <mergeCell ref="A77:E77"/>
    <mergeCell ref="A78:E78"/>
    <mergeCell ref="A79:E79"/>
    <mergeCell ref="A56:R56"/>
    <mergeCell ref="A59:A76"/>
    <mergeCell ref="B59:B60"/>
    <mergeCell ref="C59:C76"/>
    <mergeCell ref="B61:B69"/>
    <mergeCell ref="D61:D63"/>
    <mergeCell ref="D67:D68"/>
    <mergeCell ref="B71:B72"/>
    <mergeCell ref="B73:B76"/>
    <mergeCell ref="D74:D7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6" max="17" man="1"/>
    <brk id="79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ADCAC-9A17-4DC1-9DC9-D7A5877F9A58}">
  <sheetPr>
    <pageSetUpPr fitToPage="1"/>
  </sheetPr>
  <dimension ref="A1:R88"/>
  <sheetViews>
    <sheetView topLeftCell="A10" zoomScale="64" zoomScaleNormal="64" workbookViewId="0">
      <selection activeCell="A56" sqref="A56:R56"/>
    </sheetView>
  </sheetViews>
  <sheetFormatPr defaultRowHeight="17.399999999999999" x14ac:dyDescent="0.4"/>
  <cols>
    <col min="1" max="1" width="8.69921875" customWidth="1"/>
    <col min="2" max="2" width="13" bestFit="1" customWidth="1"/>
    <col min="3" max="3" width="14.8984375" customWidth="1"/>
    <col min="4" max="4" width="17.8984375" customWidth="1"/>
    <col min="5" max="5" width="41.5" customWidth="1"/>
    <col min="6" max="6" width="12.69921875" bestFit="1" customWidth="1"/>
    <col min="7" max="10" width="13.69921875" customWidth="1"/>
    <col min="11" max="11" width="14.69921875" customWidth="1"/>
    <col min="12" max="12" width="13.69921875" customWidth="1"/>
    <col min="13" max="13" width="13" customWidth="1"/>
    <col min="14" max="14" width="13.69921875" customWidth="1"/>
    <col min="15" max="15" width="13" bestFit="1" customWidth="1"/>
    <col min="16" max="16" width="12.3984375" customWidth="1"/>
    <col min="17" max="17" width="12" customWidth="1"/>
    <col min="18" max="18" width="15.5" bestFit="1" customWidth="1"/>
  </cols>
  <sheetData>
    <row r="1" spans="1:18" ht="30" x14ac:dyDescent="0.4">
      <c r="A1" s="261" t="s">
        <v>115</v>
      </c>
      <c r="B1" s="261"/>
      <c r="C1" s="261"/>
      <c r="D1" s="261"/>
      <c r="E1" s="261"/>
      <c r="F1" s="261"/>
      <c r="R1" s="1" t="s">
        <v>144</v>
      </c>
    </row>
    <row r="2" spans="1:18" ht="17.25" customHeight="1" x14ac:dyDescent="0.4">
      <c r="A2" s="2"/>
      <c r="B2" s="2"/>
      <c r="C2" s="2"/>
      <c r="D2" s="2"/>
      <c r="E2" s="2"/>
      <c r="F2" s="2"/>
      <c r="R2" s="3" t="s">
        <v>0</v>
      </c>
    </row>
    <row r="3" spans="1:18" x14ac:dyDescent="0.4">
      <c r="A3" s="262" t="s">
        <v>1</v>
      </c>
      <c r="B3" s="262"/>
      <c r="C3" s="262"/>
      <c r="D3" s="262"/>
      <c r="E3" s="4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</row>
    <row r="4" spans="1:18" x14ac:dyDescent="0.4">
      <c r="A4" s="263" t="s">
        <v>16</v>
      </c>
      <c r="B4" s="264"/>
      <c r="C4" s="264"/>
      <c r="D4" s="264"/>
      <c r="E4" s="265"/>
      <c r="F4" s="6" t="s">
        <v>116</v>
      </c>
      <c r="G4" s="6" t="s">
        <v>117</v>
      </c>
      <c r="H4" s="6" t="s">
        <v>118</v>
      </c>
      <c r="I4" s="6"/>
      <c r="J4" s="6" t="s">
        <v>17</v>
      </c>
      <c r="K4" s="6" t="s">
        <v>119</v>
      </c>
      <c r="L4" s="6" t="s">
        <v>18</v>
      </c>
      <c r="M4" s="6" t="s">
        <v>18</v>
      </c>
      <c r="N4" s="6" t="s">
        <v>120</v>
      </c>
      <c r="O4" s="6"/>
      <c r="P4" s="6"/>
      <c r="Q4" s="6" t="s">
        <v>121</v>
      </c>
      <c r="R4" s="6"/>
    </row>
    <row r="5" spans="1:18" x14ac:dyDescent="0.4">
      <c r="A5" s="266" t="s">
        <v>1</v>
      </c>
      <c r="B5" s="254" t="s">
        <v>19</v>
      </c>
      <c r="C5" s="254" t="s">
        <v>20</v>
      </c>
      <c r="D5" s="7" t="s">
        <v>21</v>
      </c>
      <c r="E5" s="8" t="s">
        <v>22</v>
      </c>
      <c r="F5" s="9">
        <v>0</v>
      </c>
      <c r="G5" s="9">
        <v>0</v>
      </c>
      <c r="H5" s="9">
        <v>400000</v>
      </c>
      <c r="I5" s="9">
        <v>400000</v>
      </c>
      <c r="J5" s="10">
        <v>150000</v>
      </c>
      <c r="K5" s="9">
        <v>0</v>
      </c>
      <c r="L5" s="9">
        <v>0</v>
      </c>
      <c r="M5" s="10">
        <v>0</v>
      </c>
      <c r="N5" s="10">
        <v>150000</v>
      </c>
      <c r="O5" s="9">
        <v>0</v>
      </c>
      <c r="P5" s="9">
        <v>0</v>
      </c>
      <c r="Q5" s="9">
        <v>0</v>
      </c>
      <c r="R5" s="11">
        <f>SUM(F5:Q5)</f>
        <v>1100000</v>
      </c>
    </row>
    <row r="6" spans="1:18" x14ac:dyDescent="0.4">
      <c r="A6" s="266"/>
      <c r="B6" s="255"/>
      <c r="C6" s="255"/>
      <c r="D6" s="12" t="s">
        <v>23</v>
      </c>
      <c r="E6" s="12" t="s">
        <v>24</v>
      </c>
      <c r="F6" s="9">
        <v>0</v>
      </c>
      <c r="G6" s="9">
        <v>300000</v>
      </c>
      <c r="H6" s="9">
        <v>400000</v>
      </c>
      <c r="I6" s="9">
        <v>400000</v>
      </c>
      <c r="J6" s="9">
        <v>150000</v>
      </c>
      <c r="K6" s="9">
        <v>0</v>
      </c>
      <c r="L6" s="9">
        <v>0</v>
      </c>
      <c r="M6" s="9">
        <v>200000</v>
      </c>
      <c r="N6" s="9">
        <v>150000</v>
      </c>
      <c r="O6" s="9"/>
      <c r="P6" s="9">
        <v>0</v>
      </c>
      <c r="Q6" s="9">
        <v>0</v>
      </c>
      <c r="R6" s="9">
        <f>SUM(F6:Q6)</f>
        <v>1600000</v>
      </c>
    </row>
    <row r="7" spans="1:18" x14ac:dyDescent="0.4">
      <c r="A7" s="266"/>
      <c r="B7" s="256" t="s">
        <v>25</v>
      </c>
      <c r="C7" s="257"/>
      <c r="D7" s="257"/>
      <c r="E7" s="258"/>
      <c r="F7" s="13">
        <f t="shared" ref="F7:G7" si="0">F6</f>
        <v>0</v>
      </c>
      <c r="G7" s="13">
        <f t="shared" si="0"/>
        <v>300000</v>
      </c>
      <c r="H7" s="13">
        <f t="shared" ref="H7:Q7" si="1">SUM(H5:H6)</f>
        <v>800000</v>
      </c>
      <c r="I7" s="13">
        <f t="shared" si="1"/>
        <v>800000</v>
      </c>
      <c r="J7" s="13">
        <f t="shared" si="1"/>
        <v>300000</v>
      </c>
      <c r="K7" s="13">
        <f t="shared" si="1"/>
        <v>0</v>
      </c>
      <c r="L7" s="13">
        <f t="shared" si="1"/>
        <v>0</v>
      </c>
      <c r="M7" s="13">
        <f t="shared" si="1"/>
        <v>200000</v>
      </c>
      <c r="N7" s="13">
        <f t="shared" si="1"/>
        <v>300000</v>
      </c>
      <c r="O7" s="13">
        <f t="shared" si="1"/>
        <v>0</v>
      </c>
      <c r="P7" s="13">
        <f t="shared" si="1"/>
        <v>0</v>
      </c>
      <c r="Q7" s="13">
        <f t="shared" si="1"/>
        <v>0</v>
      </c>
      <c r="R7" s="13">
        <f>SUM(F7:Q7)</f>
        <v>2700000</v>
      </c>
    </row>
    <row r="8" spans="1:18" x14ac:dyDescent="0.4">
      <c r="A8" s="266"/>
      <c r="B8" s="254" t="s">
        <v>26</v>
      </c>
      <c r="C8" s="268" t="s">
        <v>27</v>
      </c>
      <c r="D8" s="238" t="s">
        <v>28</v>
      </c>
      <c r="E8" s="12" t="s">
        <v>29</v>
      </c>
      <c r="F8" s="9">
        <v>0</v>
      </c>
      <c r="G8" s="9">
        <v>12000</v>
      </c>
      <c r="H8" s="9">
        <v>18000</v>
      </c>
      <c r="I8" s="9">
        <v>18000</v>
      </c>
      <c r="J8" s="9">
        <v>18000</v>
      </c>
      <c r="K8" s="9">
        <v>0</v>
      </c>
      <c r="L8" s="9">
        <v>0</v>
      </c>
      <c r="M8" s="9">
        <v>18000</v>
      </c>
      <c r="N8" s="9">
        <v>18000</v>
      </c>
      <c r="O8" s="9">
        <v>18000</v>
      </c>
      <c r="P8" s="9">
        <v>0</v>
      </c>
      <c r="Q8" s="9">
        <v>0</v>
      </c>
      <c r="R8" s="9">
        <f>SUM(F8:Q8)</f>
        <v>120000</v>
      </c>
    </row>
    <row r="9" spans="1:18" x14ac:dyDescent="0.4">
      <c r="A9" s="266"/>
      <c r="B9" s="254"/>
      <c r="C9" s="268"/>
      <c r="D9" s="242"/>
      <c r="E9" s="24" t="s">
        <v>124</v>
      </c>
      <c r="F9" s="9">
        <v>0</v>
      </c>
      <c r="G9" s="9">
        <v>6110</v>
      </c>
      <c r="H9" s="9">
        <v>10000</v>
      </c>
      <c r="I9" s="9">
        <v>10000</v>
      </c>
      <c r="J9" s="9">
        <v>10000</v>
      </c>
      <c r="K9" s="9">
        <v>0</v>
      </c>
      <c r="L9" s="9">
        <v>0</v>
      </c>
      <c r="M9" s="9">
        <v>10000</v>
      </c>
      <c r="N9" s="9">
        <v>10000</v>
      </c>
      <c r="O9" s="9">
        <v>10000</v>
      </c>
      <c r="P9" s="9">
        <v>0</v>
      </c>
      <c r="Q9" s="9">
        <v>0</v>
      </c>
      <c r="R9" s="9">
        <f t="shared" ref="R9:R20" si="2">SUM(F9:Q9)</f>
        <v>66110</v>
      </c>
    </row>
    <row r="10" spans="1:18" x14ac:dyDescent="0.4">
      <c r="A10" s="266"/>
      <c r="B10" s="254"/>
      <c r="C10" s="268"/>
      <c r="D10" s="239"/>
      <c r="E10" s="12" t="s">
        <v>30</v>
      </c>
      <c r="F10" s="9">
        <v>0</v>
      </c>
      <c r="G10" s="9">
        <v>10000</v>
      </c>
      <c r="H10" s="9">
        <v>15000</v>
      </c>
      <c r="I10" s="9">
        <v>0</v>
      </c>
      <c r="J10" s="9">
        <v>15000</v>
      </c>
      <c r="K10" s="9">
        <v>0</v>
      </c>
      <c r="L10" s="9">
        <v>0</v>
      </c>
      <c r="M10" s="9">
        <v>0</v>
      </c>
      <c r="N10" s="9">
        <v>15000</v>
      </c>
      <c r="O10" s="9">
        <v>0</v>
      </c>
      <c r="P10" s="9">
        <v>0</v>
      </c>
      <c r="Q10" s="9">
        <v>0</v>
      </c>
      <c r="R10" s="9">
        <f t="shared" si="2"/>
        <v>55000</v>
      </c>
    </row>
    <row r="11" spans="1:18" x14ac:dyDescent="0.4">
      <c r="A11" s="266"/>
      <c r="B11" s="254"/>
      <c r="C11" s="268"/>
      <c r="D11" s="12" t="s">
        <v>31</v>
      </c>
      <c r="E11" s="12" t="s">
        <v>32</v>
      </c>
      <c r="F11" s="9">
        <v>0</v>
      </c>
      <c r="G11" s="9">
        <v>7000</v>
      </c>
      <c r="H11" s="9">
        <v>10000</v>
      </c>
      <c r="I11" s="9">
        <v>10000</v>
      </c>
      <c r="J11" s="9">
        <v>10000</v>
      </c>
      <c r="K11" s="9">
        <v>0</v>
      </c>
      <c r="L11" s="9">
        <v>0</v>
      </c>
      <c r="M11" s="9">
        <v>10000</v>
      </c>
      <c r="N11" s="9">
        <v>10000</v>
      </c>
      <c r="O11" s="9">
        <v>10000</v>
      </c>
      <c r="P11" s="9">
        <v>0</v>
      </c>
      <c r="Q11" s="9">
        <v>0</v>
      </c>
      <c r="R11" s="9">
        <f t="shared" si="2"/>
        <v>67000</v>
      </c>
    </row>
    <row r="12" spans="1:18" x14ac:dyDescent="0.4">
      <c r="A12" s="266"/>
      <c r="B12" s="254"/>
      <c r="C12" s="268" t="s">
        <v>33</v>
      </c>
      <c r="D12" s="16" t="s">
        <v>34</v>
      </c>
      <c r="E12" s="24" t="s">
        <v>35</v>
      </c>
      <c r="F12" s="9">
        <v>0</v>
      </c>
      <c r="G12" s="9">
        <v>10000</v>
      </c>
      <c r="H12" s="15">
        <v>15000</v>
      </c>
      <c r="I12" s="15">
        <v>15000</v>
      </c>
      <c r="J12" s="15">
        <v>15000</v>
      </c>
      <c r="K12" s="9">
        <v>0</v>
      </c>
      <c r="L12" s="9">
        <v>0</v>
      </c>
      <c r="M12" s="15">
        <v>15000</v>
      </c>
      <c r="N12" s="15">
        <v>15000</v>
      </c>
      <c r="O12" s="15">
        <v>15000</v>
      </c>
      <c r="P12" s="9">
        <v>0</v>
      </c>
      <c r="Q12" s="9">
        <v>0</v>
      </c>
      <c r="R12" s="9">
        <f t="shared" si="2"/>
        <v>100000</v>
      </c>
    </row>
    <row r="13" spans="1:18" x14ac:dyDescent="0.4">
      <c r="A13" s="266"/>
      <c r="B13" s="254"/>
      <c r="C13" s="268"/>
      <c r="D13" s="12" t="s">
        <v>36</v>
      </c>
      <c r="E13" s="17" t="s">
        <v>125</v>
      </c>
      <c r="F13" s="9">
        <v>0</v>
      </c>
      <c r="G13" s="18">
        <v>3000</v>
      </c>
      <c r="H13" s="9">
        <v>5000</v>
      </c>
      <c r="I13" s="9">
        <v>5000</v>
      </c>
      <c r="J13" s="9">
        <v>5000</v>
      </c>
      <c r="K13" s="9">
        <v>0</v>
      </c>
      <c r="L13" s="9">
        <v>0</v>
      </c>
      <c r="M13" s="9">
        <v>5000</v>
      </c>
      <c r="N13" s="9">
        <v>5000</v>
      </c>
      <c r="O13" s="9">
        <v>5000</v>
      </c>
      <c r="P13" s="9">
        <v>0</v>
      </c>
      <c r="Q13" s="9">
        <v>0</v>
      </c>
      <c r="R13" s="9">
        <f t="shared" si="2"/>
        <v>33000</v>
      </c>
    </row>
    <row r="14" spans="1:18" x14ac:dyDescent="0.4">
      <c r="A14" s="266"/>
      <c r="B14" s="254"/>
      <c r="C14" s="268"/>
      <c r="D14" s="12" t="s">
        <v>36</v>
      </c>
      <c r="E14" s="17" t="s">
        <v>126</v>
      </c>
      <c r="F14" s="9">
        <v>0</v>
      </c>
      <c r="G14" s="18">
        <v>3000</v>
      </c>
      <c r="H14" s="9">
        <v>5000</v>
      </c>
      <c r="I14" s="9">
        <v>5000</v>
      </c>
      <c r="J14" s="9">
        <v>5000</v>
      </c>
      <c r="K14" s="9">
        <v>0</v>
      </c>
      <c r="L14" s="9">
        <v>0</v>
      </c>
      <c r="M14" s="9">
        <v>5000</v>
      </c>
      <c r="N14" s="9">
        <v>5000</v>
      </c>
      <c r="O14" s="9">
        <v>5000</v>
      </c>
      <c r="P14" s="9">
        <v>0</v>
      </c>
      <c r="Q14" s="9">
        <v>0</v>
      </c>
      <c r="R14" s="9">
        <f t="shared" si="2"/>
        <v>33000</v>
      </c>
    </row>
    <row r="15" spans="1:18" x14ac:dyDescent="0.4">
      <c r="A15" s="266"/>
      <c r="B15" s="254"/>
      <c r="C15" s="268"/>
      <c r="D15" s="19" t="s">
        <v>37</v>
      </c>
      <c r="E15" s="12" t="s">
        <v>38</v>
      </c>
      <c r="F15" s="9">
        <v>0</v>
      </c>
      <c r="G15" s="9">
        <v>3000</v>
      </c>
      <c r="H15" s="9">
        <v>3000</v>
      </c>
      <c r="I15" s="9">
        <v>3000</v>
      </c>
      <c r="J15" s="9">
        <v>3000</v>
      </c>
      <c r="K15" s="9">
        <v>0</v>
      </c>
      <c r="L15" s="9">
        <v>0</v>
      </c>
      <c r="M15" s="9">
        <v>3000</v>
      </c>
      <c r="N15" s="9">
        <v>3000</v>
      </c>
      <c r="O15" s="9"/>
      <c r="P15" s="9">
        <v>0</v>
      </c>
      <c r="Q15" s="9">
        <v>0</v>
      </c>
      <c r="R15" s="9">
        <f t="shared" si="2"/>
        <v>18000</v>
      </c>
    </row>
    <row r="16" spans="1:18" x14ac:dyDescent="0.4">
      <c r="A16" s="266"/>
      <c r="B16" s="254"/>
      <c r="C16" s="268"/>
      <c r="D16" s="12" t="s">
        <v>39</v>
      </c>
      <c r="E16" s="12" t="s">
        <v>127</v>
      </c>
      <c r="F16" s="9">
        <v>0</v>
      </c>
      <c r="G16" s="9">
        <v>0</v>
      </c>
      <c r="H16" s="9">
        <v>5000</v>
      </c>
      <c r="I16" s="9">
        <v>0</v>
      </c>
      <c r="J16" s="9">
        <v>5000</v>
      </c>
      <c r="K16" s="9">
        <v>0</v>
      </c>
      <c r="L16" s="9">
        <v>0</v>
      </c>
      <c r="M16" s="9">
        <v>5000</v>
      </c>
      <c r="N16" s="9">
        <v>5000</v>
      </c>
      <c r="O16" s="9">
        <v>0</v>
      </c>
      <c r="P16" s="9">
        <v>0</v>
      </c>
      <c r="Q16" s="9">
        <v>0</v>
      </c>
      <c r="R16" s="9">
        <f t="shared" si="2"/>
        <v>20000</v>
      </c>
    </row>
    <row r="17" spans="1:18" x14ac:dyDescent="0.4">
      <c r="A17" s="266"/>
      <c r="B17" s="254"/>
      <c r="C17" s="253" t="s">
        <v>40</v>
      </c>
      <c r="D17" s="14" t="s">
        <v>34</v>
      </c>
      <c r="E17" s="12" t="s">
        <v>128</v>
      </c>
      <c r="F17" s="9">
        <v>0</v>
      </c>
      <c r="G17" s="9">
        <v>2473.3000000000002</v>
      </c>
      <c r="H17" s="9">
        <v>5476.6</v>
      </c>
      <c r="I17" s="9">
        <v>5300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f t="shared" si="2"/>
        <v>13249.900000000001</v>
      </c>
    </row>
    <row r="18" spans="1:18" x14ac:dyDescent="0.4">
      <c r="A18" s="266"/>
      <c r="B18" s="254"/>
      <c r="C18" s="254"/>
      <c r="D18" s="14" t="s">
        <v>34</v>
      </c>
      <c r="E18" s="12" t="s">
        <v>129</v>
      </c>
      <c r="F18" s="9">
        <v>0</v>
      </c>
      <c r="G18" s="9">
        <v>3686.6</v>
      </c>
      <c r="H18" s="9">
        <v>8163.3</v>
      </c>
      <c r="I18" s="9">
        <v>7900</v>
      </c>
      <c r="J18" s="9">
        <v>8160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f t="shared" si="2"/>
        <v>27909.9</v>
      </c>
    </row>
    <row r="19" spans="1:18" x14ac:dyDescent="0.4">
      <c r="A19" s="266"/>
      <c r="B19" s="254"/>
      <c r="C19" s="254"/>
      <c r="D19" s="14" t="s">
        <v>34</v>
      </c>
      <c r="E19" s="12" t="s">
        <v>41</v>
      </c>
      <c r="F19" s="9">
        <v>0</v>
      </c>
      <c r="G19" s="9">
        <v>0</v>
      </c>
      <c r="H19" s="9">
        <v>0</v>
      </c>
      <c r="I19" s="9">
        <v>0</v>
      </c>
      <c r="J19" s="9">
        <v>510</v>
      </c>
      <c r="K19" s="9">
        <v>500</v>
      </c>
      <c r="L19" s="9">
        <v>510</v>
      </c>
      <c r="M19" s="9">
        <v>510</v>
      </c>
      <c r="N19" s="9">
        <v>500</v>
      </c>
      <c r="O19" s="9">
        <v>510</v>
      </c>
      <c r="P19" s="9">
        <v>500</v>
      </c>
      <c r="Q19" s="9">
        <v>510</v>
      </c>
      <c r="R19" s="9">
        <f t="shared" si="2"/>
        <v>4050</v>
      </c>
    </row>
    <row r="20" spans="1:18" x14ac:dyDescent="0.4">
      <c r="A20" s="266"/>
      <c r="B20" s="254"/>
      <c r="C20" s="254"/>
      <c r="D20" s="14" t="s">
        <v>34</v>
      </c>
      <c r="E20" s="12" t="s">
        <v>130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3600</v>
      </c>
      <c r="L20" s="9">
        <v>3720</v>
      </c>
      <c r="M20" s="9">
        <v>3720</v>
      </c>
      <c r="N20" s="9">
        <v>3600</v>
      </c>
      <c r="O20" s="9">
        <v>3720</v>
      </c>
      <c r="P20" s="9">
        <v>3600</v>
      </c>
      <c r="Q20" s="9">
        <v>3720</v>
      </c>
      <c r="R20" s="9">
        <f t="shared" si="2"/>
        <v>25680</v>
      </c>
    </row>
    <row r="21" spans="1:18" x14ac:dyDescent="0.4">
      <c r="A21" s="266"/>
      <c r="B21" s="256" t="s">
        <v>42</v>
      </c>
      <c r="C21" s="257"/>
      <c r="D21" s="257"/>
      <c r="E21" s="258"/>
      <c r="F21" s="13">
        <f t="shared" ref="F21:R21" si="3">SUM(F8:F20)</f>
        <v>0</v>
      </c>
      <c r="G21" s="13">
        <f t="shared" si="3"/>
        <v>60269.9</v>
      </c>
      <c r="H21" s="13">
        <f t="shared" si="3"/>
        <v>99639.900000000009</v>
      </c>
      <c r="I21" s="13">
        <f t="shared" si="3"/>
        <v>79200</v>
      </c>
      <c r="J21" s="13">
        <f t="shared" si="3"/>
        <v>94670</v>
      </c>
      <c r="K21" s="13">
        <f t="shared" si="3"/>
        <v>4100</v>
      </c>
      <c r="L21" s="13">
        <f t="shared" si="3"/>
        <v>4230</v>
      </c>
      <c r="M21" s="13">
        <f t="shared" si="3"/>
        <v>75230</v>
      </c>
      <c r="N21" s="13">
        <f t="shared" si="3"/>
        <v>90100</v>
      </c>
      <c r="O21" s="13">
        <f t="shared" si="3"/>
        <v>67230</v>
      </c>
      <c r="P21" s="13">
        <f t="shared" si="3"/>
        <v>4100</v>
      </c>
      <c r="Q21" s="13">
        <f t="shared" si="3"/>
        <v>4230</v>
      </c>
      <c r="R21" s="13">
        <f t="shared" si="3"/>
        <v>582999.80000000005</v>
      </c>
    </row>
    <row r="22" spans="1:18" hidden="1" x14ac:dyDescent="0.4">
      <c r="A22" s="266"/>
      <c r="B22" s="20" t="s">
        <v>43</v>
      </c>
      <c r="C22" s="20" t="s">
        <v>20</v>
      </c>
      <c r="D22" s="21" t="s">
        <v>43</v>
      </c>
      <c r="E22" s="22" t="s">
        <v>44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" si="4">SUM(F22:Q22)</f>
        <v>0</v>
      </c>
    </row>
    <row r="23" spans="1:18" hidden="1" x14ac:dyDescent="0.4">
      <c r="A23" s="266"/>
      <c r="B23" s="256" t="s">
        <v>45</v>
      </c>
      <c r="C23" s="257"/>
      <c r="D23" s="257"/>
      <c r="E23" s="258"/>
      <c r="F23" s="13">
        <f t="shared" ref="F23:R23" si="5">SUM(F22:F22)</f>
        <v>0</v>
      </c>
      <c r="G23" s="13">
        <f t="shared" si="5"/>
        <v>0</v>
      </c>
      <c r="H23" s="13">
        <f t="shared" si="5"/>
        <v>0</v>
      </c>
      <c r="I23" s="13">
        <f t="shared" si="5"/>
        <v>0</v>
      </c>
      <c r="J23" s="13">
        <f t="shared" si="5"/>
        <v>0</v>
      </c>
      <c r="K23" s="13">
        <f t="shared" si="5"/>
        <v>0</v>
      </c>
      <c r="L23" s="13">
        <f t="shared" si="5"/>
        <v>0</v>
      </c>
      <c r="M23" s="13">
        <f t="shared" si="5"/>
        <v>0</v>
      </c>
      <c r="N23" s="13">
        <f t="shared" si="5"/>
        <v>0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</row>
    <row r="24" spans="1:18" x14ac:dyDescent="0.4">
      <c r="A24" s="266"/>
      <c r="B24" s="269" t="s">
        <v>46</v>
      </c>
      <c r="C24" s="253" t="s">
        <v>20</v>
      </c>
      <c r="D24" s="253" t="s">
        <v>47</v>
      </c>
      <c r="E24" s="135" t="s">
        <v>132</v>
      </c>
      <c r="F24" s="9">
        <v>0</v>
      </c>
      <c r="G24" s="9">
        <v>0</v>
      </c>
      <c r="H24" s="138">
        <v>27800</v>
      </c>
      <c r="I24" s="138">
        <v>30800</v>
      </c>
      <c r="J24" s="138">
        <v>30800</v>
      </c>
      <c r="K24" s="9">
        <v>0</v>
      </c>
      <c r="L24" s="9">
        <v>0</v>
      </c>
      <c r="M24" s="138">
        <v>32750</v>
      </c>
      <c r="N24" s="138">
        <v>32750</v>
      </c>
      <c r="O24" s="9">
        <v>0</v>
      </c>
      <c r="P24" s="9">
        <v>0</v>
      </c>
      <c r="Q24" s="9">
        <v>0</v>
      </c>
      <c r="R24" s="9">
        <f t="shared" ref="R24:R29" si="6">SUM(F24:Q24)</f>
        <v>154900</v>
      </c>
    </row>
    <row r="25" spans="1:18" x14ac:dyDescent="0.4">
      <c r="A25" s="266"/>
      <c r="B25" s="270"/>
      <c r="C25" s="254"/>
      <c r="D25" s="254"/>
      <c r="E25" s="135" t="s">
        <v>134</v>
      </c>
      <c r="F25" s="9"/>
      <c r="G25" s="9"/>
      <c r="H25" s="9">
        <v>4600</v>
      </c>
      <c r="I25" s="9">
        <v>4600</v>
      </c>
      <c r="J25" s="9">
        <v>4600</v>
      </c>
      <c r="K25" s="9">
        <v>4600</v>
      </c>
      <c r="L25" s="9">
        <v>4600</v>
      </c>
      <c r="M25" s="9">
        <v>4600</v>
      </c>
      <c r="N25" s="9">
        <v>4600</v>
      </c>
      <c r="O25" s="9">
        <v>4600</v>
      </c>
      <c r="P25" s="9"/>
      <c r="Q25" s="9"/>
      <c r="R25" s="9">
        <f t="shared" si="6"/>
        <v>36800</v>
      </c>
    </row>
    <row r="26" spans="1:18" x14ac:dyDescent="0.4">
      <c r="A26" s="266"/>
      <c r="B26" s="270"/>
      <c r="C26" s="254"/>
      <c r="D26" s="254"/>
      <c r="E26" s="135" t="s">
        <v>133</v>
      </c>
      <c r="F26" s="9"/>
      <c r="G26" s="9"/>
      <c r="H26" s="9">
        <v>18000</v>
      </c>
      <c r="I26" s="9">
        <v>18000</v>
      </c>
      <c r="J26" s="9">
        <v>18000</v>
      </c>
      <c r="K26" s="9"/>
      <c r="L26" s="9"/>
      <c r="M26" s="9">
        <v>18000</v>
      </c>
      <c r="N26" s="9">
        <v>18000</v>
      </c>
      <c r="O26" s="9"/>
      <c r="P26" s="9"/>
      <c r="Q26" s="9"/>
      <c r="R26" s="9">
        <f t="shared" si="6"/>
        <v>90000</v>
      </c>
    </row>
    <row r="27" spans="1:18" x14ac:dyDescent="0.4">
      <c r="A27" s="266"/>
      <c r="B27" s="270"/>
      <c r="C27" s="255"/>
      <c r="D27" s="255"/>
      <c r="E27" s="22" t="s">
        <v>131</v>
      </c>
      <c r="F27" s="9"/>
      <c r="G27" s="9"/>
      <c r="H27" s="138">
        <v>0</v>
      </c>
      <c r="I27" s="138">
        <v>91100</v>
      </c>
      <c r="J27" s="9"/>
      <c r="K27" s="9"/>
      <c r="L27" s="9"/>
      <c r="M27" s="9"/>
      <c r="N27" s="9"/>
      <c r="O27" s="9"/>
      <c r="P27" s="9"/>
      <c r="Q27" s="9"/>
      <c r="R27" s="9">
        <f t="shared" si="6"/>
        <v>91100</v>
      </c>
    </row>
    <row r="28" spans="1:18" hidden="1" x14ac:dyDescent="0.4">
      <c r="A28" s="266"/>
      <c r="B28" s="270"/>
      <c r="C28" s="253" t="s">
        <v>48</v>
      </c>
      <c r="D28" s="253" t="s">
        <v>48</v>
      </c>
      <c r="E28" s="22" t="s">
        <v>135</v>
      </c>
      <c r="F28" s="9">
        <v>0</v>
      </c>
      <c r="G28" s="9">
        <v>0</v>
      </c>
      <c r="H28" s="138"/>
      <c r="I28" s="9"/>
      <c r="J28" s="9"/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f t="shared" ref="R28" si="7">SUM(F28:Q28)</f>
        <v>0</v>
      </c>
    </row>
    <row r="29" spans="1:18" x14ac:dyDescent="0.4">
      <c r="A29" s="266"/>
      <c r="B29" s="270"/>
      <c r="C29" s="255"/>
      <c r="D29" s="255"/>
      <c r="E29" s="22" t="s">
        <v>138</v>
      </c>
      <c r="F29" s="9">
        <v>0</v>
      </c>
      <c r="G29" s="9">
        <v>0</v>
      </c>
      <c r="H29" s="9">
        <v>85000</v>
      </c>
      <c r="I29" s="9"/>
      <c r="J29" s="9"/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f t="shared" si="6"/>
        <v>85000</v>
      </c>
    </row>
    <row r="30" spans="1:18" x14ac:dyDescent="0.4">
      <c r="A30" s="266"/>
      <c r="B30" s="256" t="s">
        <v>49</v>
      </c>
      <c r="C30" s="257"/>
      <c r="D30" s="257"/>
      <c r="E30" s="258"/>
      <c r="F30" s="13">
        <f>SUM(F24:F29)</f>
        <v>0</v>
      </c>
      <c r="G30" s="13">
        <f>SUM(G24:G29)</f>
        <v>0</v>
      </c>
      <c r="H30" s="13">
        <f t="shared" ref="H30:Q30" si="8">SUM(H24:H29)</f>
        <v>135400</v>
      </c>
      <c r="I30" s="13">
        <f t="shared" si="8"/>
        <v>144500</v>
      </c>
      <c r="J30" s="13">
        <f t="shared" si="8"/>
        <v>53400</v>
      </c>
      <c r="K30" s="13">
        <f t="shared" si="8"/>
        <v>4600</v>
      </c>
      <c r="L30" s="13">
        <f t="shared" si="8"/>
        <v>4600</v>
      </c>
      <c r="M30" s="13">
        <f t="shared" si="8"/>
        <v>55350</v>
      </c>
      <c r="N30" s="13">
        <f t="shared" si="8"/>
        <v>55350</v>
      </c>
      <c r="O30" s="13">
        <f t="shared" si="8"/>
        <v>4600</v>
      </c>
      <c r="P30" s="13">
        <f t="shared" si="8"/>
        <v>0</v>
      </c>
      <c r="Q30" s="13">
        <f t="shared" si="8"/>
        <v>0</v>
      </c>
      <c r="R30" s="13">
        <f>SUM(R24:R29)</f>
        <v>457800</v>
      </c>
    </row>
    <row r="31" spans="1:18" hidden="1" x14ac:dyDescent="0.4">
      <c r="A31" s="266"/>
      <c r="B31" s="20" t="s">
        <v>50</v>
      </c>
      <c r="C31" s="21" t="s">
        <v>20</v>
      </c>
      <c r="D31" s="21" t="s">
        <v>51</v>
      </c>
      <c r="E31" s="22" t="s">
        <v>52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/>
      <c r="O31" s="9">
        <v>0</v>
      </c>
      <c r="P31" s="9">
        <v>0</v>
      </c>
      <c r="Q31" s="9">
        <v>0</v>
      </c>
      <c r="R31" s="9">
        <f>J31</f>
        <v>0</v>
      </c>
    </row>
    <row r="32" spans="1:18" hidden="1" x14ac:dyDescent="0.4">
      <c r="A32" s="267"/>
      <c r="B32" s="256" t="s">
        <v>53</v>
      </c>
      <c r="C32" s="257"/>
      <c r="D32" s="257"/>
      <c r="E32" s="258"/>
      <c r="F32" s="13">
        <f t="shared" ref="F32:R32" si="9">SUM(F31:F31)</f>
        <v>0</v>
      </c>
      <c r="G32" s="13">
        <f t="shared" si="9"/>
        <v>0</v>
      </c>
      <c r="H32" s="13">
        <f t="shared" si="9"/>
        <v>0</v>
      </c>
      <c r="I32" s="13">
        <f t="shared" si="9"/>
        <v>0</v>
      </c>
      <c r="J32" s="13">
        <f t="shared" si="9"/>
        <v>0</v>
      </c>
      <c r="K32" s="13">
        <f t="shared" si="9"/>
        <v>0</v>
      </c>
      <c r="L32" s="13">
        <f t="shared" si="9"/>
        <v>0</v>
      </c>
      <c r="M32" s="13">
        <f t="shared" si="9"/>
        <v>0</v>
      </c>
      <c r="N32" s="13">
        <f t="shared" si="9"/>
        <v>0</v>
      </c>
      <c r="O32" s="13">
        <f t="shared" si="9"/>
        <v>0</v>
      </c>
      <c r="P32" s="13">
        <f t="shared" si="9"/>
        <v>0</v>
      </c>
      <c r="Q32" s="13">
        <f t="shared" si="9"/>
        <v>0</v>
      </c>
      <c r="R32" s="13">
        <f t="shared" si="9"/>
        <v>0</v>
      </c>
    </row>
    <row r="33" spans="1:18" x14ac:dyDescent="0.4">
      <c r="A33" s="259" t="s">
        <v>54</v>
      </c>
      <c r="B33" s="259"/>
      <c r="C33" s="259"/>
      <c r="D33" s="259"/>
      <c r="E33" s="259"/>
      <c r="F33" s="23">
        <f>F7+F21</f>
        <v>0</v>
      </c>
      <c r="G33" s="23">
        <f>G7+G21</f>
        <v>360269.9</v>
      </c>
      <c r="H33" s="23">
        <f>H7+H21+H30+H32</f>
        <v>1035039.9</v>
      </c>
      <c r="I33" s="23">
        <f>I7+I21+I23+I30+I32</f>
        <v>1023700</v>
      </c>
      <c r="J33" s="23">
        <f>J7+J21+J23+J30+J32</f>
        <v>448070</v>
      </c>
      <c r="K33" s="23">
        <f>K7+K21+K30+K32</f>
        <v>8700</v>
      </c>
      <c r="L33" s="23">
        <f>L7+L21+L30+L32</f>
        <v>8830</v>
      </c>
      <c r="M33" s="23">
        <f>M7+M21+M30+M32</f>
        <v>330580</v>
      </c>
      <c r="N33" s="23">
        <f>N7+N21+N30+N32</f>
        <v>445450</v>
      </c>
      <c r="O33" s="23">
        <f>O7+O21+O32</f>
        <v>67230</v>
      </c>
      <c r="P33" s="23">
        <f>P7+P21+P32</f>
        <v>4100</v>
      </c>
      <c r="Q33" s="23">
        <f>Q7+Q21+Q32</f>
        <v>4230</v>
      </c>
      <c r="R33" s="23">
        <f>R7+R21+R23+R30+R32</f>
        <v>3740799.8</v>
      </c>
    </row>
    <row r="34" spans="1:18" hidden="1" x14ac:dyDescent="0.4">
      <c r="A34" s="236" t="s">
        <v>55</v>
      </c>
      <c r="B34" s="238" t="s">
        <v>19</v>
      </c>
      <c r="C34" s="240" t="s">
        <v>55</v>
      </c>
      <c r="D34" s="238" t="s">
        <v>56</v>
      </c>
      <c r="E34" s="12" t="s">
        <v>57</v>
      </c>
      <c r="F34" s="9">
        <v>0</v>
      </c>
      <c r="G34" s="9"/>
      <c r="H34" s="9"/>
      <c r="I34" s="9">
        <v>0</v>
      </c>
      <c r="J34" s="9">
        <v>0</v>
      </c>
      <c r="K34" s="9">
        <v>0</v>
      </c>
      <c r="L34" s="9">
        <v>0</v>
      </c>
      <c r="M34" s="10">
        <v>0</v>
      </c>
      <c r="N34" s="9">
        <v>0</v>
      </c>
      <c r="O34" s="9">
        <v>0</v>
      </c>
      <c r="P34" s="9">
        <v>0</v>
      </c>
      <c r="Q34" s="9"/>
      <c r="R34" s="9">
        <f t="shared" ref="R34:R37" si="10">SUM(F34:Q34)</f>
        <v>0</v>
      </c>
    </row>
    <row r="35" spans="1:18" hidden="1" x14ac:dyDescent="0.4">
      <c r="A35" s="237"/>
      <c r="B35" s="242"/>
      <c r="C35" s="241"/>
      <c r="D35" s="239"/>
      <c r="E35" s="12" t="s">
        <v>58</v>
      </c>
      <c r="F35" s="9"/>
      <c r="G35" s="9"/>
      <c r="H35" s="9"/>
      <c r="I35" s="9"/>
      <c r="J35" s="9"/>
      <c r="K35" s="9"/>
      <c r="L35" s="9"/>
      <c r="M35" s="10"/>
      <c r="N35" s="9"/>
      <c r="O35" s="9"/>
      <c r="P35" s="9"/>
      <c r="Q35" s="9"/>
      <c r="R35" s="9">
        <f t="shared" si="10"/>
        <v>0</v>
      </c>
    </row>
    <row r="36" spans="1:18" x14ac:dyDescent="0.4">
      <c r="A36" s="237"/>
      <c r="B36" s="239"/>
      <c r="C36" s="241"/>
      <c r="D36" s="14" t="s">
        <v>55</v>
      </c>
      <c r="E36" s="12" t="s">
        <v>59</v>
      </c>
      <c r="F36" s="9">
        <v>0</v>
      </c>
      <c r="G36" s="9">
        <v>0</v>
      </c>
      <c r="H36" s="138">
        <f>16400*1.1765</f>
        <v>19294.600000000002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f>SUM(F36:Q36)</f>
        <v>19294.600000000002</v>
      </c>
    </row>
    <row r="37" spans="1:18" ht="17.399999999999999" hidden="1" customHeight="1" x14ac:dyDescent="0.4">
      <c r="A37" s="237"/>
      <c r="B37" s="238" t="s">
        <v>26</v>
      </c>
      <c r="C37" s="242"/>
      <c r="D37" s="238" t="s">
        <v>60</v>
      </c>
      <c r="E37" s="25" t="s">
        <v>61</v>
      </c>
      <c r="F37" s="9">
        <v>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>
        <f t="shared" si="10"/>
        <v>0</v>
      </c>
    </row>
    <row r="38" spans="1:18" x14ac:dyDescent="0.4">
      <c r="A38" s="237"/>
      <c r="B38" s="242"/>
      <c r="C38" s="242"/>
      <c r="D38" s="242"/>
      <c r="E38" s="25" t="s">
        <v>62</v>
      </c>
      <c r="F38" s="9">
        <v>0</v>
      </c>
      <c r="G38" s="138">
        <f>14110*1.1765</f>
        <v>16600.415000000001</v>
      </c>
      <c r="H38" s="9"/>
      <c r="I38" s="9"/>
      <c r="J38" s="9"/>
      <c r="K38" s="9"/>
      <c r="L38" s="9">
        <v>0</v>
      </c>
      <c r="M38" s="9">
        <v>0</v>
      </c>
      <c r="N38" s="138">
        <f>5215*1.1765+1</f>
        <v>6136.4475000000002</v>
      </c>
      <c r="O38" s="9">
        <f>20000*1.1765</f>
        <v>23530.000000000004</v>
      </c>
      <c r="P38" s="9">
        <v>0</v>
      </c>
      <c r="Q38" s="9">
        <v>0</v>
      </c>
      <c r="R38" s="9">
        <f>SUM(F38:Q38)</f>
        <v>46266.862500000003</v>
      </c>
    </row>
    <row r="39" spans="1:18" x14ac:dyDescent="0.4">
      <c r="A39" s="237"/>
      <c r="B39" s="242"/>
      <c r="C39" s="242"/>
      <c r="D39" s="239"/>
      <c r="E39" s="25" t="s">
        <v>122</v>
      </c>
      <c r="F39" s="9"/>
      <c r="G39" s="9"/>
      <c r="H39" s="9"/>
      <c r="I39" s="9"/>
      <c r="J39" s="9"/>
      <c r="K39" s="9"/>
      <c r="L39" s="9"/>
      <c r="M39" s="9">
        <f>40000*1.1765</f>
        <v>47060.000000000007</v>
      </c>
      <c r="N39" s="9"/>
      <c r="O39" s="9"/>
      <c r="P39" s="9"/>
      <c r="Q39" s="9">
        <v>0</v>
      </c>
      <c r="R39" s="9">
        <f t="shared" ref="R39:R52" si="11">SUM(F39:Q39)</f>
        <v>47060.000000000007</v>
      </c>
    </row>
    <row r="40" spans="1:18" ht="17.399999999999999" hidden="1" customHeight="1" x14ac:dyDescent="0.4">
      <c r="A40" s="237"/>
      <c r="B40" s="242"/>
      <c r="C40" s="242"/>
      <c r="D40" s="134" t="s">
        <v>63</v>
      </c>
      <c r="E40" s="25" t="s">
        <v>64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>
        <v>0</v>
      </c>
      <c r="R40" s="9">
        <f t="shared" si="11"/>
        <v>0</v>
      </c>
    </row>
    <row r="41" spans="1:18" ht="17.399999999999999" hidden="1" customHeight="1" x14ac:dyDescent="0.4">
      <c r="A41" s="237"/>
      <c r="B41" s="242"/>
      <c r="C41" s="242"/>
      <c r="D41" s="134" t="s">
        <v>65</v>
      </c>
      <c r="E41" s="25" t="s">
        <v>66</v>
      </c>
      <c r="F41" s="9"/>
      <c r="G41" s="9"/>
      <c r="H41" s="9"/>
      <c r="I41" s="9"/>
      <c r="J41" s="9"/>
      <c r="K41" s="9"/>
      <c r="L41" s="9"/>
      <c r="M41" s="9"/>
      <c r="N41" s="9"/>
      <c r="O41" s="26"/>
      <c r="P41" s="9"/>
      <c r="Q41" s="9">
        <v>0</v>
      </c>
      <c r="R41" s="9">
        <f t="shared" si="11"/>
        <v>0</v>
      </c>
    </row>
    <row r="42" spans="1:18" x14ac:dyDescent="0.4">
      <c r="A42" s="237"/>
      <c r="B42" s="242"/>
      <c r="C42" s="242"/>
      <c r="D42" s="134" t="s">
        <v>65</v>
      </c>
      <c r="E42" s="25" t="s">
        <v>67</v>
      </c>
      <c r="F42" s="9">
        <v>0</v>
      </c>
      <c r="G42" s="138">
        <f>1550*1.1765</f>
        <v>1823.575</v>
      </c>
      <c r="H42" s="9"/>
      <c r="I42" s="9"/>
      <c r="J42" s="9">
        <f>5000*1.1765</f>
        <v>5882.5000000000009</v>
      </c>
      <c r="K42" s="9"/>
      <c r="L42" s="9"/>
      <c r="M42" s="9">
        <v>0</v>
      </c>
      <c r="N42" s="9">
        <f>5000*1.1765</f>
        <v>5882.5000000000009</v>
      </c>
      <c r="O42" s="9">
        <v>0</v>
      </c>
      <c r="P42" s="9">
        <v>0</v>
      </c>
      <c r="Q42" s="9">
        <v>0</v>
      </c>
      <c r="R42" s="9">
        <f t="shared" ref="R42" si="12">SUM(F42:Q42)</f>
        <v>13588.575000000001</v>
      </c>
    </row>
    <row r="43" spans="1:18" x14ac:dyDescent="0.4">
      <c r="A43" s="237"/>
      <c r="B43" s="242"/>
      <c r="C43" s="242"/>
      <c r="D43" s="238" t="s">
        <v>55</v>
      </c>
      <c r="E43" s="25" t="s">
        <v>137</v>
      </c>
      <c r="F43" s="9">
        <v>0</v>
      </c>
      <c r="G43" s="138">
        <v>0</v>
      </c>
      <c r="H43" s="138">
        <f>47000*1.1765</f>
        <v>55295.500000000007</v>
      </c>
      <c r="I43" s="9"/>
      <c r="J43" s="9"/>
      <c r="K43" s="9"/>
      <c r="L43" s="9"/>
      <c r="M43" s="9"/>
      <c r="N43" s="9"/>
      <c r="O43" s="9">
        <v>0</v>
      </c>
      <c r="P43" s="9">
        <v>0</v>
      </c>
      <c r="Q43" s="9">
        <v>0</v>
      </c>
      <c r="R43" s="9">
        <f t="shared" si="11"/>
        <v>55295.500000000007</v>
      </c>
    </row>
    <row r="44" spans="1:18" hidden="1" x14ac:dyDescent="0.4">
      <c r="A44" s="237"/>
      <c r="B44" s="242"/>
      <c r="C44" s="242"/>
      <c r="D44" s="239"/>
      <c r="E44" s="25" t="s">
        <v>122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>
        <f t="shared" si="11"/>
        <v>0</v>
      </c>
    </row>
    <row r="45" spans="1:18" x14ac:dyDescent="0.4">
      <c r="A45" s="237"/>
      <c r="B45" s="239"/>
      <c r="C45" s="242"/>
      <c r="D45" s="134" t="s">
        <v>68</v>
      </c>
      <c r="E45" s="25" t="s">
        <v>69</v>
      </c>
      <c r="F45" s="9">
        <v>0</v>
      </c>
      <c r="G45" s="151">
        <v>1172</v>
      </c>
      <c r="H45" s="138">
        <v>0</v>
      </c>
      <c r="I45" s="9">
        <v>0</v>
      </c>
      <c r="J45" s="9"/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f t="shared" si="11"/>
        <v>1172</v>
      </c>
    </row>
    <row r="46" spans="1:18" hidden="1" x14ac:dyDescent="0.4">
      <c r="A46" s="237"/>
      <c r="B46" s="19" t="s">
        <v>43</v>
      </c>
      <c r="C46" s="242"/>
      <c r="D46" s="134" t="s">
        <v>65</v>
      </c>
      <c r="E46" s="25" t="s">
        <v>70</v>
      </c>
      <c r="F46" s="9"/>
      <c r="G46" s="138"/>
      <c r="H46" s="9"/>
      <c r="I46" s="9"/>
      <c r="J46" s="9"/>
      <c r="K46" s="9"/>
      <c r="L46" s="9"/>
      <c r="M46" s="9"/>
      <c r="N46" s="9"/>
      <c r="O46" s="9"/>
      <c r="P46" s="9"/>
      <c r="Q46" s="9">
        <v>0</v>
      </c>
      <c r="R46" s="9">
        <f t="shared" si="11"/>
        <v>0</v>
      </c>
    </row>
    <row r="47" spans="1:18" x14ac:dyDescent="0.4">
      <c r="A47" s="237"/>
      <c r="B47" s="238" t="s">
        <v>71</v>
      </c>
      <c r="C47" s="242"/>
      <c r="D47" s="134" t="s">
        <v>65</v>
      </c>
      <c r="E47" s="25" t="s">
        <v>142</v>
      </c>
      <c r="F47" s="9">
        <v>0</v>
      </c>
      <c r="G47" s="138">
        <f>1800*1.1765</f>
        <v>2117.7000000000003</v>
      </c>
      <c r="H47" s="9">
        <f>(400*1.1765)-1</f>
        <v>469.6</v>
      </c>
      <c r="I47" s="9"/>
      <c r="J47" s="9"/>
      <c r="K47" s="9"/>
      <c r="L47" s="9"/>
      <c r="M47" s="9"/>
      <c r="N47" s="9">
        <f>3000*1.1765</f>
        <v>3529.5000000000005</v>
      </c>
      <c r="O47" s="9">
        <f>6590*1.1765-3</f>
        <v>7750.1350000000002</v>
      </c>
      <c r="P47" s="9">
        <v>0</v>
      </c>
      <c r="Q47" s="9">
        <v>0</v>
      </c>
      <c r="R47" s="9">
        <f t="shared" si="11"/>
        <v>13866.935000000001</v>
      </c>
    </row>
    <row r="48" spans="1:18" x14ac:dyDescent="0.4">
      <c r="A48" s="237"/>
      <c r="B48" s="239"/>
      <c r="C48" s="242"/>
      <c r="D48" s="139" t="s">
        <v>141</v>
      </c>
      <c r="E48" s="25" t="s">
        <v>143</v>
      </c>
      <c r="F48" s="9">
        <v>0</v>
      </c>
      <c r="G48" s="9"/>
      <c r="H48" s="138">
        <v>5360</v>
      </c>
      <c r="I48" s="138">
        <v>8400</v>
      </c>
      <c r="J48" s="9"/>
      <c r="K48" s="9"/>
      <c r="L48" s="9"/>
      <c r="M48" s="9">
        <f>5000</f>
        <v>5000</v>
      </c>
      <c r="N48" s="9"/>
      <c r="O48" s="9"/>
      <c r="P48" s="9">
        <v>0</v>
      </c>
      <c r="Q48" s="9">
        <v>0</v>
      </c>
      <c r="R48" s="9">
        <f t="shared" ref="R48" si="13">SUM(F48:Q48)</f>
        <v>18760</v>
      </c>
    </row>
    <row r="49" spans="1:18" x14ac:dyDescent="0.4">
      <c r="A49" s="237"/>
      <c r="B49" s="238" t="s">
        <v>72</v>
      </c>
      <c r="C49" s="242"/>
      <c r="D49" s="27" t="s">
        <v>73</v>
      </c>
      <c r="E49" s="12" t="s">
        <v>74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9">
        <v>0</v>
      </c>
      <c r="Q49" s="15">
        <f>24000*1.1765</f>
        <v>28236.000000000004</v>
      </c>
      <c r="R49" s="9">
        <f t="shared" si="11"/>
        <v>28236.000000000004</v>
      </c>
    </row>
    <row r="50" spans="1:18" x14ac:dyDescent="0.4">
      <c r="A50" s="237"/>
      <c r="B50" s="242"/>
      <c r="C50" s="242"/>
      <c r="D50" s="240" t="s">
        <v>75</v>
      </c>
      <c r="E50" s="12" t="s">
        <v>136</v>
      </c>
      <c r="F50" s="9">
        <v>0</v>
      </c>
      <c r="G50" s="9">
        <v>0</v>
      </c>
      <c r="H50" s="138">
        <v>6900</v>
      </c>
      <c r="I50" s="9">
        <v>0</v>
      </c>
      <c r="J50" s="9"/>
      <c r="K50" s="15">
        <v>0</v>
      </c>
      <c r="L50" s="15">
        <v>0</v>
      </c>
      <c r="M50" s="15">
        <v>0</v>
      </c>
      <c r="N50" s="15">
        <v>0</v>
      </c>
      <c r="O50" s="9">
        <v>0</v>
      </c>
      <c r="P50" s="9">
        <f>80*60</f>
        <v>4800</v>
      </c>
      <c r="Q50" s="9">
        <f>60*60</f>
        <v>3600</v>
      </c>
      <c r="R50" s="9">
        <f t="shared" si="11"/>
        <v>15300</v>
      </c>
    </row>
    <row r="51" spans="1:18" x14ac:dyDescent="0.4">
      <c r="A51" s="237"/>
      <c r="B51" s="242"/>
      <c r="C51" s="242"/>
      <c r="D51" s="241"/>
      <c r="E51" s="12" t="s">
        <v>76</v>
      </c>
      <c r="F51" s="9">
        <v>0</v>
      </c>
      <c r="G51" s="138">
        <v>360</v>
      </c>
      <c r="H51" s="9">
        <v>0</v>
      </c>
      <c r="I51" s="9">
        <v>0</v>
      </c>
      <c r="J51" s="9">
        <v>0</v>
      </c>
      <c r="K51" s="15">
        <v>0</v>
      </c>
      <c r="L51" s="15"/>
      <c r="M51" s="15">
        <v>0</v>
      </c>
      <c r="N51" s="15">
        <v>0</v>
      </c>
      <c r="O51" s="9">
        <v>0</v>
      </c>
      <c r="P51" s="9">
        <v>0</v>
      </c>
      <c r="Q51" s="9">
        <v>0</v>
      </c>
      <c r="R51" s="9">
        <f t="shared" si="11"/>
        <v>360</v>
      </c>
    </row>
    <row r="52" spans="1:18" hidden="1" x14ac:dyDescent="0.4">
      <c r="A52" s="260"/>
      <c r="B52" s="239"/>
      <c r="C52" s="239"/>
      <c r="D52" s="244"/>
      <c r="E52" s="12" t="s">
        <v>77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15">
        <v>0</v>
      </c>
      <c r="L52" s="15"/>
      <c r="M52" s="15">
        <v>0</v>
      </c>
      <c r="N52" s="15">
        <v>0</v>
      </c>
      <c r="O52" s="9">
        <v>0</v>
      </c>
      <c r="P52" s="9">
        <v>0</v>
      </c>
      <c r="Q52" s="9">
        <v>0</v>
      </c>
      <c r="R52" s="9">
        <f t="shared" si="11"/>
        <v>0</v>
      </c>
    </row>
    <row r="53" spans="1:18" x14ac:dyDescent="0.4">
      <c r="A53" s="245" t="s">
        <v>78</v>
      </c>
      <c r="B53" s="245"/>
      <c r="C53" s="245"/>
      <c r="D53" s="245"/>
      <c r="E53" s="245"/>
      <c r="F53" s="28">
        <f>SUM(F34:F49)</f>
        <v>0</v>
      </c>
      <c r="G53" s="28">
        <f t="shared" ref="G53:L53" si="14">SUM(G34:G52)</f>
        <v>22073.690000000002</v>
      </c>
      <c r="H53" s="28">
        <f t="shared" si="14"/>
        <v>87319.700000000012</v>
      </c>
      <c r="I53" s="28">
        <f t="shared" si="14"/>
        <v>8400</v>
      </c>
      <c r="J53" s="28">
        <f t="shared" si="14"/>
        <v>5882.5000000000009</v>
      </c>
      <c r="K53" s="28">
        <f t="shared" si="14"/>
        <v>0</v>
      </c>
      <c r="L53" s="28">
        <f t="shared" si="14"/>
        <v>0</v>
      </c>
      <c r="M53" s="28">
        <f t="shared" ref="M53:R53" si="15">SUM(M34:M52)</f>
        <v>52060.000000000007</v>
      </c>
      <c r="N53" s="29">
        <f t="shared" si="15"/>
        <v>15548.447500000002</v>
      </c>
      <c r="O53" s="28">
        <f t="shared" si="15"/>
        <v>31280.135000000002</v>
      </c>
      <c r="P53" s="28">
        <f t="shared" si="15"/>
        <v>4800</v>
      </c>
      <c r="Q53" s="28">
        <f t="shared" si="15"/>
        <v>31836.000000000004</v>
      </c>
      <c r="R53" s="30">
        <f t="shared" si="15"/>
        <v>259200.47250000003</v>
      </c>
    </row>
    <row r="54" spans="1:18" x14ac:dyDescent="0.4">
      <c r="A54" s="246" t="s">
        <v>79</v>
      </c>
      <c r="B54" s="246"/>
      <c r="C54" s="246"/>
      <c r="D54" s="246"/>
      <c r="E54" s="246"/>
      <c r="F54" s="31">
        <f>SUM(F33,F53)</f>
        <v>0</v>
      </c>
      <c r="G54" s="31">
        <f t="shared" ref="G54:O54" si="16">G33+G53</f>
        <v>382343.59</v>
      </c>
      <c r="H54" s="31">
        <f t="shared" si="16"/>
        <v>1122359.6000000001</v>
      </c>
      <c r="I54" s="31">
        <f t="shared" si="16"/>
        <v>1032100</v>
      </c>
      <c r="J54" s="31">
        <f t="shared" si="16"/>
        <v>453952.5</v>
      </c>
      <c r="K54" s="31">
        <f t="shared" si="16"/>
        <v>8700</v>
      </c>
      <c r="L54" s="31">
        <f t="shared" si="16"/>
        <v>8830</v>
      </c>
      <c r="M54" s="31">
        <f t="shared" si="16"/>
        <v>382640</v>
      </c>
      <c r="N54" s="31">
        <f t="shared" si="16"/>
        <v>460998.44750000001</v>
      </c>
      <c r="O54" s="31">
        <f t="shared" si="16"/>
        <v>98510.135000000009</v>
      </c>
      <c r="P54" s="31">
        <f>SUM(P33,P53)</f>
        <v>8900</v>
      </c>
      <c r="Q54" s="31">
        <f>SUM(Q33,Q53)</f>
        <v>36066</v>
      </c>
      <c r="R54" s="31">
        <f>R33+R53</f>
        <v>4000000.2725</v>
      </c>
    </row>
    <row r="55" spans="1:18" x14ac:dyDescent="0.4">
      <c r="A55" s="234" t="s">
        <v>80</v>
      </c>
      <c r="B55" s="234"/>
      <c r="C55" s="234"/>
      <c r="D55" s="234"/>
      <c r="E55" s="234"/>
      <c r="F55" s="32">
        <f>F33+F53</f>
        <v>0</v>
      </c>
      <c r="G55" s="32">
        <f>G33+G53</f>
        <v>382343.59</v>
      </c>
      <c r="H55" s="32">
        <f>SUM(H54:H54)</f>
        <v>1122359.6000000001</v>
      </c>
      <c r="I55" s="32">
        <f>SUM(I54:I54)</f>
        <v>1032100</v>
      </c>
      <c r="J55" s="32">
        <f t="shared" ref="J55:Q55" si="17">SUM(J54:J54)</f>
        <v>453952.5</v>
      </c>
      <c r="K55" s="32">
        <f t="shared" si="17"/>
        <v>8700</v>
      </c>
      <c r="L55" s="32">
        <f t="shared" si="17"/>
        <v>8830</v>
      </c>
      <c r="M55" s="32">
        <f t="shared" si="17"/>
        <v>382640</v>
      </c>
      <c r="N55" s="32">
        <f t="shared" si="17"/>
        <v>460998.44750000001</v>
      </c>
      <c r="O55" s="32">
        <f t="shared" si="17"/>
        <v>98510.135000000009</v>
      </c>
      <c r="P55" s="32">
        <f t="shared" si="17"/>
        <v>8900</v>
      </c>
      <c r="Q55" s="32">
        <f t="shared" si="17"/>
        <v>36066</v>
      </c>
      <c r="R55" s="32">
        <f>R33+R53</f>
        <v>4000000.2725</v>
      </c>
    </row>
    <row r="56" spans="1:18" ht="69" customHeight="1" x14ac:dyDescent="0.4">
      <c r="A56" s="235" t="s">
        <v>81</v>
      </c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</row>
    <row r="57" spans="1:18" x14ac:dyDescent="0.4"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1:18" x14ac:dyDescent="0.4">
      <c r="A58" s="136" t="s">
        <v>82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</row>
    <row r="59" spans="1:18" hidden="1" x14ac:dyDescent="0.4">
      <c r="A59" s="236" t="s">
        <v>55</v>
      </c>
      <c r="B59" s="238" t="s">
        <v>19</v>
      </c>
      <c r="C59" s="240" t="s">
        <v>55</v>
      </c>
      <c r="D59" s="12" t="s">
        <v>56</v>
      </c>
      <c r="E59" s="12" t="s">
        <v>57</v>
      </c>
      <c r="F59" s="9">
        <v>0</v>
      </c>
      <c r="G59" s="15">
        <v>0</v>
      </c>
      <c r="H59" s="9"/>
      <c r="I59" s="9">
        <v>0</v>
      </c>
      <c r="J59" s="9">
        <v>0</v>
      </c>
      <c r="K59" s="9">
        <v>0</v>
      </c>
      <c r="L59" s="9">
        <v>0</v>
      </c>
      <c r="M59" s="15">
        <v>0</v>
      </c>
      <c r="N59" s="9">
        <v>0</v>
      </c>
      <c r="O59" s="9">
        <v>0</v>
      </c>
      <c r="P59" s="9">
        <v>0</v>
      </c>
      <c r="Q59" s="9"/>
      <c r="R59" s="9">
        <f t="shared" ref="R59:R61" si="18">SUM(F59:Q59)</f>
        <v>0</v>
      </c>
    </row>
    <row r="60" spans="1:18" x14ac:dyDescent="0.4">
      <c r="A60" s="237"/>
      <c r="B60" s="239"/>
      <c r="C60" s="241"/>
      <c r="D60" s="12" t="s">
        <v>55</v>
      </c>
      <c r="E60" s="12" t="s">
        <v>59</v>
      </c>
      <c r="F60" s="9"/>
      <c r="G60" s="15"/>
      <c r="H60" s="138">
        <f>14400+2000</f>
        <v>16400</v>
      </c>
      <c r="I60" s="9"/>
      <c r="J60" s="9"/>
      <c r="K60" s="9"/>
      <c r="L60" s="9"/>
      <c r="M60" s="15"/>
      <c r="N60" s="9"/>
      <c r="O60" s="9"/>
      <c r="P60" s="9"/>
      <c r="Q60" s="9"/>
      <c r="R60" s="9">
        <f t="shared" si="18"/>
        <v>16400</v>
      </c>
    </row>
    <row r="61" spans="1:18" ht="17.399999999999999" hidden="1" customHeight="1" x14ac:dyDescent="0.4">
      <c r="A61" s="237"/>
      <c r="B61" s="243" t="s">
        <v>26</v>
      </c>
      <c r="C61" s="242"/>
      <c r="D61" s="238" t="s">
        <v>60</v>
      </c>
      <c r="E61" s="25" t="s">
        <v>61</v>
      </c>
      <c r="F61" s="9"/>
      <c r="G61" s="15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f t="shared" si="18"/>
        <v>0</v>
      </c>
    </row>
    <row r="62" spans="1:18" x14ac:dyDescent="0.4">
      <c r="A62" s="237"/>
      <c r="B62" s="243"/>
      <c r="C62" s="242"/>
      <c r="D62" s="242"/>
      <c r="E62" s="25" t="s">
        <v>83</v>
      </c>
      <c r="F62" s="9">
        <v>0</v>
      </c>
      <c r="G62" s="138">
        <v>14110</v>
      </c>
      <c r="H62" s="9"/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138">
        <v>5215</v>
      </c>
      <c r="O62" s="9">
        <v>20000</v>
      </c>
      <c r="P62" s="9">
        <v>0</v>
      </c>
      <c r="Q62" s="9">
        <v>0</v>
      </c>
      <c r="R62" s="9">
        <f>SUM(F62:Q62)</f>
        <v>39325</v>
      </c>
    </row>
    <row r="63" spans="1:18" x14ac:dyDescent="0.4">
      <c r="A63" s="237"/>
      <c r="B63" s="243"/>
      <c r="C63" s="242"/>
      <c r="D63" s="239"/>
      <c r="E63" s="25" t="s">
        <v>122</v>
      </c>
      <c r="F63" s="9"/>
      <c r="G63" s="9"/>
      <c r="H63" s="9"/>
      <c r="I63" s="9"/>
      <c r="J63" s="9"/>
      <c r="K63" s="9"/>
      <c r="L63" s="9"/>
      <c r="M63" s="9">
        <v>40000</v>
      </c>
      <c r="N63" s="9"/>
      <c r="O63" s="9"/>
      <c r="P63" s="9"/>
      <c r="Q63" s="9"/>
      <c r="R63" s="9">
        <f>SUM(F63:Q63)</f>
        <v>40000</v>
      </c>
    </row>
    <row r="64" spans="1:18" hidden="1" x14ac:dyDescent="0.4">
      <c r="A64" s="237"/>
      <c r="B64" s="243"/>
      <c r="C64" s="242"/>
      <c r="D64" s="12" t="s">
        <v>63</v>
      </c>
      <c r="E64" s="25" t="s">
        <v>64</v>
      </c>
      <c r="F64" s="9">
        <v>0</v>
      </c>
      <c r="G64" s="9"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>
        <f t="shared" ref="R64:R70" si="19">SUM(F64:Q64)</f>
        <v>0</v>
      </c>
    </row>
    <row r="65" spans="1:18" hidden="1" x14ac:dyDescent="0.4">
      <c r="A65" s="237"/>
      <c r="B65" s="243"/>
      <c r="C65" s="242"/>
      <c r="D65" s="12" t="s">
        <v>65</v>
      </c>
      <c r="E65" s="25" t="s">
        <v>66</v>
      </c>
      <c r="F65" s="9"/>
      <c r="G65" s="9"/>
      <c r="H65" s="9"/>
      <c r="I65" s="9"/>
      <c r="J65" s="9"/>
      <c r="K65" s="9"/>
      <c r="L65" s="9"/>
      <c r="M65" s="9"/>
      <c r="N65" s="9"/>
      <c r="O65" s="26"/>
      <c r="P65" s="9"/>
      <c r="Q65" s="9"/>
      <c r="R65" s="9">
        <f t="shared" si="19"/>
        <v>0</v>
      </c>
    </row>
    <row r="66" spans="1:18" x14ac:dyDescent="0.4">
      <c r="A66" s="237"/>
      <c r="B66" s="243"/>
      <c r="C66" s="242"/>
      <c r="D66" s="133" t="s">
        <v>65</v>
      </c>
      <c r="E66" s="25" t="s">
        <v>67</v>
      </c>
      <c r="F66" s="9">
        <v>0</v>
      </c>
      <c r="G66" s="138">
        <v>1550</v>
      </c>
      <c r="H66" s="9"/>
      <c r="I66" s="9"/>
      <c r="J66" s="9">
        <f>5000</f>
        <v>5000</v>
      </c>
      <c r="K66" s="9"/>
      <c r="L66" s="9"/>
      <c r="M66" s="9">
        <v>0</v>
      </c>
      <c r="N66" s="9">
        <f>5000</f>
        <v>5000</v>
      </c>
      <c r="O66" s="9">
        <v>0</v>
      </c>
      <c r="P66" s="9">
        <v>0</v>
      </c>
      <c r="Q66" s="9"/>
      <c r="R66" s="9">
        <f>SUM(F66:Q66)</f>
        <v>11550</v>
      </c>
    </row>
    <row r="67" spans="1:18" x14ac:dyDescent="0.4">
      <c r="A67" s="237"/>
      <c r="B67" s="243"/>
      <c r="C67" s="242"/>
      <c r="D67" s="238" t="s">
        <v>55</v>
      </c>
      <c r="E67" s="25" t="s">
        <v>137</v>
      </c>
      <c r="F67" s="9">
        <v>0</v>
      </c>
      <c r="G67" s="9">
        <v>0</v>
      </c>
      <c r="H67" s="138">
        <v>47000</v>
      </c>
      <c r="I67" s="9"/>
      <c r="J67" s="9"/>
      <c r="K67" s="9"/>
      <c r="L67" s="9"/>
      <c r="M67" s="9">
        <v>0</v>
      </c>
      <c r="N67" s="9"/>
      <c r="O67" s="9">
        <v>0</v>
      </c>
      <c r="P67" s="9">
        <v>0</v>
      </c>
      <c r="Q67" s="9"/>
      <c r="R67" s="9">
        <f>SUM(F67:Q67)</f>
        <v>47000</v>
      </c>
    </row>
    <row r="68" spans="1:18" hidden="1" x14ac:dyDescent="0.4">
      <c r="A68" s="237"/>
      <c r="B68" s="243"/>
      <c r="C68" s="242"/>
      <c r="D68" s="239"/>
      <c r="E68" s="25" t="s">
        <v>139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>
        <f>SUM(F68:Q68)</f>
        <v>0</v>
      </c>
    </row>
    <row r="69" spans="1:18" x14ac:dyDescent="0.4">
      <c r="A69" s="237"/>
      <c r="B69" s="243"/>
      <c r="C69" s="242"/>
      <c r="D69" s="12" t="s">
        <v>68</v>
      </c>
      <c r="E69" s="25" t="s">
        <v>69</v>
      </c>
      <c r="F69" s="15">
        <v>0</v>
      </c>
      <c r="G69" s="151">
        <v>1172</v>
      </c>
      <c r="H69" s="138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f>SUM(F69:Q69)</f>
        <v>1172</v>
      </c>
    </row>
    <row r="70" spans="1:18" hidden="1" x14ac:dyDescent="0.4">
      <c r="A70" s="237"/>
      <c r="B70" s="19" t="s">
        <v>43</v>
      </c>
      <c r="C70" s="242"/>
      <c r="D70" s="12" t="s">
        <v>65</v>
      </c>
      <c r="E70" s="25" t="s">
        <v>70</v>
      </c>
      <c r="F70" s="9"/>
      <c r="G70" s="138"/>
      <c r="H70" s="9"/>
      <c r="I70" s="9"/>
      <c r="J70" s="9"/>
      <c r="K70" s="9"/>
      <c r="L70" s="9"/>
      <c r="M70" s="9"/>
      <c r="N70" s="9"/>
      <c r="O70" s="9"/>
      <c r="P70" s="9"/>
      <c r="Q70" s="9"/>
      <c r="R70" s="9">
        <f t="shared" si="19"/>
        <v>0</v>
      </c>
    </row>
    <row r="71" spans="1:18" x14ac:dyDescent="0.4">
      <c r="A71" s="237"/>
      <c r="B71" s="238" t="s">
        <v>71</v>
      </c>
      <c r="C71" s="242"/>
      <c r="D71" s="139" t="s">
        <v>65</v>
      </c>
      <c r="E71" s="25" t="s">
        <v>142</v>
      </c>
      <c r="F71" s="9">
        <v>0</v>
      </c>
      <c r="G71" s="138">
        <v>1800</v>
      </c>
      <c r="H71" s="9">
        <f>400</f>
        <v>400</v>
      </c>
      <c r="I71" s="9"/>
      <c r="J71" s="9"/>
      <c r="K71" s="9"/>
      <c r="L71" s="9"/>
      <c r="M71" s="9"/>
      <c r="N71" s="9">
        <v>3000</v>
      </c>
      <c r="O71" s="9">
        <f>6590-3</f>
        <v>6587</v>
      </c>
      <c r="P71" s="9"/>
      <c r="Q71" s="9">
        <v>0</v>
      </c>
      <c r="R71" s="9">
        <f t="shared" ref="R71:R76" si="20">SUM(F71:Q71)</f>
        <v>11787</v>
      </c>
    </row>
    <row r="72" spans="1:18" x14ac:dyDescent="0.4">
      <c r="A72" s="237"/>
      <c r="B72" s="239"/>
      <c r="C72" s="242"/>
      <c r="D72" s="139" t="s">
        <v>141</v>
      </c>
      <c r="E72" s="25" t="s">
        <v>143</v>
      </c>
      <c r="F72" s="9">
        <v>0</v>
      </c>
      <c r="G72" s="9"/>
      <c r="H72" s="138">
        <v>5360</v>
      </c>
      <c r="I72" s="138">
        <v>8400</v>
      </c>
      <c r="J72" s="9"/>
      <c r="K72" s="9"/>
      <c r="L72" s="9"/>
      <c r="M72" s="9">
        <f>5000</f>
        <v>5000</v>
      </c>
      <c r="N72" s="9"/>
      <c r="O72" s="9"/>
      <c r="P72" s="9"/>
      <c r="Q72" s="9">
        <v>0</v>
      </c>
      <c r="R72" s="9">
        <f t="shared" si="20"/>
        <v>18760</v>
      </c>
    </row>
    <row r="73" spans="1:18" x14ac:dyDescent="0.4">
      <c r="A73" s="237"/>
      <c r="B73" s="238" t="s">
        <v>72</v>
      </c>
      <c r="C73" s="242"/>
      <c r="D73" s="27" t="s">
        <v>73</v>
      </c>
      <c r="E73" s="12" t="s">
        <v>74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24000</v>
      </c>
      <c r="R73" s="9">
        <f t="shared" si="20"/>
        <v>24000</v>
      </c>
    </row>
    <row r="74" spans="1:18" x14ac:dyDescent="0.4">
      <c r="A74" s="237"/>
      <c r="B74" s="242"/>
      <c r="C74" s="242"/>
      <c r="D74" s="240" t="s">
        <v>75</v>
      </c>
      <c r="E74" s="12" t="s">
        <v>123</v>
      </c>
      <c r="F74" s="9">
        <v>0</v>
      </c>
      <c r="G74" s="9">
        <v>0</v>
      </c>
      <c r="H74" s="138">
        <v>6900</v>
      </c>
      <c r="I74" s="9">
        <v>0</v>
      </c>
      <c r="J74" s="9"/>
      <c r="K74" s="15">
        <v>0</v>
      </c>
      <c r="L74" s="15">
        <v>0</v>
      </c>
      <c r="M74" s="15">
        <v>0</v>
      </c>
      <c r="N74" s="15">
        <v>0</v>
      </c>
      <c r="O74" s="9">
        <v>0</v>
      </c>
      <c r="P74" s="9">
        <f>80*60</f>
        <v>4800</v>
      </c>
      <c r="Q74" s="9">
        <f>60*60</f>
        <v>3600</v>
      </c>
      <c r="R74" s="9">
        <f t="shared" si="20"/>
        <v>15300</v>
      </c>
    </row>
    <row r="75" spans="1:18" x14ac:dyDescent="0.4">
      <c r="A75" s="237"/>
      <c r="B75" s="242"/>
      <c r="C75" s="242"/>
      <c r="D75" s="241"/>
      <c r="E75" s="12" t="s">
        <v>76</v>
      </c>
      <c r="F75" s="9">
        <v>0</v>
      </c>
      <c r="G75" s="138">
        <v>360</v>
      </c>
      <c r="H75" s="9">
        <v>0</v>
      </c>
      <c r="I75" s="9">
        <v>0</v>
      </c>
      <c r="J75" s="9">
        <v>0</v>
      </c>
      <c r="K75" s="15">
        <v>0</v>
      </c>
      <c r="L75" s="15">
        <v>0</v>
      </c>
      <c r="M75" s="15">
        <v>0</v>
      </c>
      <c r="N75" s="15">
        <v>0</v>
      </c>
      <c r="O75" s="9">
        <v>0</v>
      </c>
      <c r="P75" s="9">
        <v>0</v>
      </c>
      <c r="Q75" s="9">
        <v>0</v>
      </c>
      <c r="R75" s="9">
        <f t="shared" si="20"/>
        <v>360</v>
      </c>
    </row>
    <row r="76" spans="1:18" hidden="1" x14ac:dyDescent="0.4">
      <c r="A76" s="237"/>
      <c r="B76" s="239"/>
      <c r="C76" s="239"/>
      <c r="D76" s="244"/>
      <c r="E76" s="12" t="s">
        <v>77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15">
        <v>0</v>
      </c>
      <c r="L76" s="15">
        <v>0</v>
      </c>
      <c r="M76" s="15">
        <v>0</v>
      </c>
      <c r="N76" s="15">
        <v>0</v>
      </c>
      <c r="O76" s="9">
        <v>0</v>
      </c>
      <c r="P76" s="9">
        <v>0</v>
      </c>
      <c r="Q76" s="9">
        <v>0</v>
      </c>
      <c r="R76" s="9">
        <f t="shared" si="20"/>
        <v>0</v>
      </c>
    </row>
    <row r="77" spans="1:18" ht="17.399999999999999" customHeight="1" x14ac:dyDescent="0.4">
      <c r="A77" s="247" t="s">
        <v>78</v>
      </c>
      <c r="B77" s="248"/>
      <c r="C77" s="248"/>
      <c r="D77" s="248"/>
      <c r="E77" s="249"/>
      <c r="F77" s="28">
        <f t="shared" ref="F77:Q77" si="21">SUM(F59:F76)</f>
        <v>0</v>
      </c>
      <c r="G77" s="28">
        <f t="shared" si="21"/>
        <v>18992</v>
      </c>
      <c r="H77" s="28">
        <f t="shared" si="21"/>
        <v>76060</v>
      </c>
      <c r="I77" s="28">
        <f>SUM(I59:I76)</f>
        <v>8400</v>
      </c>
      <c r="J77" s="28">
        <f t="shared" si="21"/>
        <v>5000</v>
      </c>
      <c r="K77" s="28">
        <f t="shared" si="21"/>
        <v>0</v>
      </c>
      <c r="L77" s="28">
        <f t="shared" si="21"/>
        <v>0</v>
      </c>
      <c r="M77" s="28">
        <f t="shared" si="21"/>
        <v>45000</v>
      </c>
      <c r="N77" s="28">
        <f t="shared" si="21"/>
        <v>13215</v>
      </c>
      <c r="O77" s="28">
        <f t="shared" si="21"/>
        <v>26587</v>
      </c>
      <c r="P77" s="28">
        <f t="shared" si="21"/>
        <v>4800</v>
      </c>
      <c r="Q77" s="28">
        <f t="shared" si="21"/>
        <v>27600</v>
      </c>
      <c r="R77" s="30">
        <f>SUM(R59:R76)</f>
        <v>225654</v>
      </c>
    </row>
    <row r="78" spans="1:18" x14ac:dyDescent="0.4">
      <c r="A78" s="250" t="s">
        <v>84</v>
      </c>
      <c r="B78" s="251"/>
      <c r="C78" s="251"/>
      <c r="D78" s="251"/>
      <c r="E78" s="252"/>
      <c r="F78" s="35">
        <f>SUM(F60:F67)*17.65%+F71*17.65%+F73*17.65%</f>
        <v>0</v>
      </c>
      <c r="G78" s="35">
        <f>SUM(G60:G67)*17.65%+G71*17.65%+G73*17.65%</f>
        <v>3081.6899999999996</v>
      </c>
      <c r="H78" s="35">
        <f t="shared" ref="H78:Q78" si="22">SUM(H60:H67)*17.65%+H71*17.65%+H73*17.65%</f>
        <v>11260.699999999999</v>
      </c>
      <c r="I78" s="35">
        <f t="shared" si="22"/>
        <v>0</v>
      </c>
      <c r="J78" s="35">
        <f t="shared" si="22"/>
        <v>882.5</v>
      </c>
      <c r="K78" s="35">
        <f t="shared" si="22"/>
        <v>0</v>
      </c>
      <c r="L78" s="35">
        <f t="shared" si="22"/>
        <v>0</v>
      </c>
      <c r="M78" s="35">
        <f t="shared" si="22"/>
        <v>7060</v>
      </c>
      <c r="N78" s="35">
        <f t="shared" si="22"/>
        <v>2332.4475000000002</v>
      </c>
      <c r="O78" s="35">
        <f t="shared" si="22"/>
        <v>4692.6054999999997</v>
      </c>
      <c r="P78" s="35">
        <f t="shared" si="22"/>
        <v>0</v>
      </c>
      <c r="Q78" s="35">
        <f t="shared" si="22"/>
        <v>4236</v>
      </c>
      <c r="R78" s="35">
        <f>SUM(F78:Q78)</f>
        <v>33545.942999999999</v>
      </c>
    </row>
    <row r="79" spans="1:18" x14ac:dyDescent="0.4">
      <c r="A79" s="234" t="s">
        <v>85</v>
      </c>
      <c r="B79" s="234"/>
      <c r="C79" s="234"/>
      <c r="D79" s="234"/>
      <c r="E79" s="234"/>
      <c r="F79" s="36">
        <f>F77+F78</f>
        <v>0</v>
      </c>
      <c r="G79" s="36">
        <f t="shared" ref="G79:Q79" si="23">G77+G78</f>
        <v>22073.69</v>
      </c>
      <c r="H79" s="36">
        <f t="shared" si="23"/>
        <v>87320.7</v>
      </c>
      <c r="I79" s="36">
        <f t="shared" si="23"/>
        <v>8400</v>
      </c>
      <c r="J79" s="36">
        <f>J77+J78-1</f>
        <v>5881.5</v>
      </c>
      <c r="K79" s="36">
        <f t="shared" si="23"/>
        <v>0</v>
      </c>
      <c r="L79" s="36">
        <f>L77+L78</f>
        <v>0</v>
      </c>
      <c r="M79" s="36">
        <f t="shared" si="23"/>
        <v>52060</v>
      </c>
      <c r="N79" s="36">
        <f t="shared" si="23"/>
        <v>15547.4475</v>
      </c>
      <c r="O79" s="36">
        <f t="shared" si="23"/>
        <v>31279.605499999998</v>
      </c>
      <c r="P79" s="36">
        <f t="shared" si="23"/>
        <v>4800</v>
      </c>
      <c r="Q79" s="36">
        <f t="shared" si="23"/>
        <v>31836</v>
      </c>
      <c r="R79" s="36">
        <f>R77+R78</f>
        <v>259199.943</v>
      </c>
    </row>
    <row r="80" spans="1:18" x14ac:dyDescent="0.4">
      <c r="H80" s="33"/>
      <c r="I80" s="33"/>
      <c r="J80" s="33"/>
      <c r="K80" s="33"/>
      <c r="L80" s="33"/>
      <c r="M80" s="33"/>
      <c r="N80" s="33"/>
      <c r="O80" s="33"/>
      <c r="P80" s="33"/>
    </row>
    <row r="81" spans="6:18" hidden="1" x14ac:dyDescent="0.4">
      <c r="L81" s="35"/>
      <c r="M81" s="35"/>
      <c r="N81" s="33"/>
    </row>
    <row r="82" spans="6:18" hidden="1" x14ac:dyDescent="0.4">
      <c r="O82" s="37"/>
    </row>
    <row r="83" spans="6:18" hidden="1" x14ac:dyDescent="0.4">
      <c r="O83" s="37"/>
      <c r="P83" s="33"/>
      <c r="R83" s="33"/>
    </row>
    <row r="84" spans="6:18" hidden="1" x14ac:dyDescent="0.4">
      <c r="O84" s="37"/>
    </row>
    <row r="85" spans="6:18" hidden="1" x14ac:dyDescent="0.4">
      <c r="F85" s="37"/>
      <c r="O85" s="33"/>
    </row>
    <row r="87" spans="6:18" x14ac:dyDescent="0.4">
      <c r="F87" s="34"/>
    </row>
    <row r="88" spans="6:18" x14ac:dyDescent="0.4">
      <c r="I88" s="154"/>
    </row>
  </sheetData>
  <mergeCells count="48">
    <mergeCell ref="A1:F1"/>
    <mergeCell ref="A3:D3"/>
    <mergeCell ref="A4:E4"/>
    <mergeCell ref="A5:A32"/>
    <mergeCell ref="B5:B6"/>
    <mergeCell ref="C5:C6"/>
    <mergeCell ref="B7:E7"/>
    <mergeCell ref="B8:B20"/>
    <mergeCell ref="C8:C11"/>
    <mergeCell ref="D8:D10"/>
    <mergeCell ref="D24:D27"/>
    <mergeCell ref="C12:C16"/>
    <mergeCell ref="C17:C20"/>
    <mergeCell ref="B21:E21"/>
    <mergeCell ref="B23:E23"/>
    <mergeCell ref="B24:B29"/>
    <mergeCell ref="C24:C27"/>
    <mergeCell ref="D37:D39"/>
    <mergeCell ref="A53:E53"/>
    <mergeCell ref="A54:E54"/>
    <mergeCell ref="A55:E55"/>
    <mergeCell ref="B30:E30"/>
    <mergeCell ref="B32:E32"/>
    <mergeCell ref="A33:E33"/>
    <mergeCell ref="A34:A52"/>
    <mergeCell ref="B34:B36"/>
    <mergeCell ref="C34:C52"/>
    <mergeCell ref="D34:D35"/>
    <mergeCell ref="B37:B45"/>
    <mergeCell ref="B49:B52"/>
    <mergeCell ref="D50:D52"/>
    <mergeCell ref="C28:C29"/>
    <mergeCell ref="A79:E79"/>
    <mergeCell ref="A56:R56"/>
    <mergeCell ref="A59:A76"/>
    <mergeCell ref="B59:B60"/>
    <mergeCell ref="C59:C76"/>
    <mergeCell ref="B61:B69"/>
    <mergeCell ref="D61:D63"/>
    <mergeCell ref="B73:B76"/>
    <mergeCell ref="D67:D68"/>
    <mergeCell ref="D74:D76"/>
    <mergeCell ref="A77:E77"/>
    <mergeCell ref="D28:D29"/>
    <mergeCell ref="D43:D44"/>
    <mergeCell ref="A78:E78"/>
    <mergeCell ref="B47:B48"/>
    <mergeCell ref="B71:B72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6" max="17" man="1"/>
    <brk id="79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0A78-092E-4A59-8060-147B7C0AE72B}">
  <sheetPr>
    <pageSetUpPr fitToPage="1"/>
  </sheetPr>
  <dimension ref="A1:S87"/>
  <sheetViews>
    <sheetView zoomScale="64" zoomScaleNormal="64" workbookViewId="0">
      <selection activeCell="J47" sqref="J47"/>
    </sheetView>
  </sheetViews>
  <sheetFormatPr defaultRowHeight="17.399999999999999" x14ac:dyDescent="0.4"/>
  <cols>
    <col min="1" max="1" width="8.69921875" customWidth="1"/>
    <col min="2" max="2" width="13" bestFit="1" customWidth="1"/>
    <col min="3" max="3" width="14.8984375" customWidth="1"/>
    <col min="4" max="4" width="17.8984375" customWidth="1"/>
    <col min="5" max="5" width="41.5" customWidth="1"/>
    <col min="6" max="6" width="12.69921875" bestFit="1" customWidth="1"/>
    <col min="7" max="10" width="13.69921875" customWidth="1"/>
    <col min="11" max="11" width="14.69921875" customWidth="1"/>
    <col min="12" max="12" width="13.69921875" customWidth="1"/>
    <col min="13" max="13" width="13" customWidth="1"/>
    <col min="14" max="14" width="13.69921875" customWidth="1"/>
    <col min="15" max="15" width="13" bestFit="1" customWidth="1"/>
    <col min="16" max="16" width="12.3984375" customWidth="1"/>
    <col min="17" max="17" width="12" customWidth="1"/>
    <col min="18" max="18" width="15.5" bestFit="1" customWidth="1"/>
    <col min="19" max="19" width="10.59765625" bestFit="1" customWidth="1"/>
  </cols>
  <sheetData>
    <row r="1" spans="1:18" ht="30" x14ac:dyDescent="0.4">
      <c r="A1" s="261" t="s">
        <v>115</v>
      </c>
      <c r="B1" s="261"/>
      <c r="C1" s="261"/>
      <c r="D1" s="261"/>
      <c r="E1" s="261"/>
      <c r="F1" s="261"/>
      <c r="R1" s="1" t="s">
        <v>140</v>
      </c>
    </row>
    <row r="2" spans="1:18" ht="17.25" customHeight="1" x14ac:dyDescent="0.4">
      <c r="A2" s="146"/>
      <c r="B2" s="146"/>
      <c r="C2" s="146"/>
      <c r="D2" s="146"/>
      <c r="E2" s="146"/>
      <c r="F2" s="146"/>
      <c r="R2" s="3" t="s">
        <v>0</v>
      </c>
    </row>
    <row r="3" spans="1:18" x14ac:dyDescent="0.4">
      <c r="A3" s="262" t="s">
        <v>1</v>
      </c>
      <c r="B3" s="262"/>
      <c r="C3" s="262"/>
      <c r="D3" s="262"/>
      <c r="E3" s="4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15</v>
      </c>
    </row>
    <row r="4" spans="1:18" x14ac:dyDescent="0.4">
      <c r="A4" s="263" t="s">
        <v>16</v>
      </c>
      <c r="B4" s="264"/>
      <c r="C4" s="264"/>
      <c r="D4" s="264"/>
      <c r="E4" s="265"/>
      <c r="F4" s="6" t="s">
        <v>116</v>
      </c>
      <c r="G4" s="6" t="s">
        <v>117</v>
      </c>
      <c r="H4" s="6" t="s">
        <v>118</v>
      </c>
      <c r="I4" s="6"/>
      <c r="J4" s="6" t="s">
        <v>17</v>
      </c>
      <c r="K4" s="6" t="s">
        <v>119</v>
      </c>
      <c r="L4" s="6" t="s">
        <v>18</v>
      </c>
      <c r="M4" s="6" t="s">
        <v>18</v>
      </c>
      <c r="N4" s="6" t="s">
        <v>120</v>
      </c>
      <c r="O4" s="6"/>
      <c r="P4" s="6"/>
      <c r="Q4" s="6" t="s">
        <v>121</v>
      </c>
      <c r="R4" s="6"/>
    </row>
    <row r="5" spans="1:18" x14ac:dyDescent="0.4">
      <c r="A5" s="266" t="s">
        <v>1</v>
      </c>
      <c r="B5" s="254" t="s">
        <v>19</v>
      </c>
      <c r="C5" s="254" t="s">
        <v>20</v>
      </c>
      <c r="D5" s="141" t="s">
        <v>21</v>
      </c>
      <c r="E5" s="8" t="s">
        <v>22</v>
      </c>
      <c r="F5" s="9">
        <v>0</v>
      </c>
      <c r="G5" s="9">
        <v>0</v>
      </c>
      <c r="H5" s="9">
        <v>400000</v>
      </c>
      <c r="I5" s="9">
        <v>400000</v>
      </c>
      <c r="J5" s="10">
        <v>150000</v>
      </c>
      <c r="K5" s="9">
        <v>0</v>
      </c>
      <c r="L5" s="9">
        <v>0</v>
      </c>
      <c r="M5" s="10">
        <v>0</v>
      </c>
      <c r="N5" s="10">
        <v>150000</v>
      </c>
      <c r="O5" s="9">
        <v>0</v>
      </c>
      <c r="P5" s="9">
        <v>0</v>
      </c>
      <c r="Q5" s="9">
        <v>0</v>
      </c>
      <c r="R5" s="11">
        <f t="shared" ref="R5:R20" si="0">SUM(F5:Q5)</f>
        <v>1100000</v>
      </c>
    </row>
    <row r="6" spans="1:18" x14ac:dyDescent="0.4">
      <c r="A6" s="266"/>
      <c r="B6" s="255"/>
      <c r="C6" s="255"/>
      <c r="D6" s="145" t="s">
        <v>23</v>
      </c>
      <c r="E6" s="145" t="s">
        <v>24</v>
      </c>
      <c r="F6" s="9">
        <v>0</v>
      </c>
      <c r="G6" s="9">
        <v>300000</v>
      </c>
      <c r="H6" s="9">
        <v>400000</v>
      </c>
      <c r="I6" s="9">
        <v>400000</v>
      </c>
      <c r="J6" s="9">
        <v>150000</v>
      </c>
      <c r="K6" s="9">
        <v>0</v>
      </c>
      <c r="L6" s="9">
        <v>0</v>
      </c>
      <c r="M6" s="9">
        <v>200000</v>
      </c>
      <c r="N6" s="9">
        <v>150000</v>
      </c>
      <c r="O6" s="9"/>
      <c r="P6" s="9">
        <v>0</v>
      </c>
      <c r="Q6" s="9">
        <v>0</v>
      </c>
      <c r="R6" s="9">
        <f t="shared" si="0"/>
        <v>1600000</v>
      </c>
    </row>
    <row r="7" spans="1:18" x14ac:dyDescent="0.4">
      <c r="A7" s="266"/>
      <c r="B7" s="256" t="s">
        <v>25</v>
      </c>
      <c r="C7" s="257"/>
      <c r="D7" s="257"/>
      <c r="E7" s="258"/>
      <c r="F7" s="13">
        <f>F6</f>
        <v>0</v>
      </c>
      <c r="G7" s="13">
        <f>G6</f>
        <v>300000</v>
      </c>
      <c r="H7" s="13">
        <f t="shared" ref="H7:Q7" si="1">SUM(H5:H6)</f>
        <v>800000</v>
      </c>
      <c r="I7" s="13">
        <f t="shared" si="1"/>
        <v>800000</v>
      </c>
      <c r="J7" s="13">
        <f t="shared" si="1"/>
        <v>300000</v>
      </c>
      <c r="K7" s="13">
        <f t="shared" si="1"/>
        <v>0</v>
      </c>
      <c r="L7" s="13">
        <f t="shared" si="1"/>
        <v>0</v>
      </c>
      <c r="M7" s="13">
        <f t="shared" si="1"/>
        <v>200000</v>
      </c>
      <c r="N7" s="13">
        <f t="shared" si="1"/>
        <v>300000</v>
      </c>
      <c r="O7" s="13">
        <f t="shared" si="1"/>
        <v>0</v>
      </c>
      <c r="P7" s="13">
        <f t="shared" si="1"/>
        <v>0</v>
      </c>
      <c r="Q7" s="13">
        <f t="shared" si="1"/>
        <v>0</v>
      </c>
      <c r="R7" s="13">
        <f t="shared" si="0"/>
        <v>2700000</v>
      </c>
    </row>
    <row r="8" spans="1:18" x14ac:dyDescent="0.4">
      <c r="A8" s="266"/>
      <c r="B8" s="254" t="s">
        <v>26</v>
      </c>
      <c r="C8" s="268" t="s">
        <v>27</v>
      </c>
      <c r="D8" s="238" t="s">
        <v>28</v>
      </c>
      <c r="E8" s="145" t="s">
        <v>29</v>
      </c>
      <c r="F8" s="9">
        <v>0</v>
      </c>
      <c r="G8" s="9">
        <v>12000</v>
      </c>
      <c r="H8" s="9">
        <v>18000</v>
      </c>
      <c r="I8" s="9">
        <v>18000</v>
      </c>
      <c r="J8" s="9">
        <v>18000</v>
      </c>
      <c r="K8" s="9">
        <v>0</v>
      </c>
      <c r="L8" s="9">
        <v>0</v>
      </c>
      <c r="M8" s="9">
        <v>18000</v>
      </c>
      <c r="N8" s="9">
        <v>18000</v>
      </c>
      <c r="O8" s="9">
        <v>18000</v>
      </c>
      <c r="P8" s="9">
        <v>0</v>
      </c>
      <c r="Q8" s="9">
        <v>0</v>
      </c>
      <c r="R8" s="9">
        <f t="shared" si="0"/>
        <v>120000</v>
      </c>
    </row>
    <row r="9" spans="1:18" x14ac:dyDescent="0.4">
      <c r="A9" s="266"/>
      <c r="B9" s="254"/>
      <c r="C9" s="268"/>
      <c r="D9" s="242"/>
      <c r="E9" s="145" t="s">
        <v>124</v>
      </c>
      <c r="F9" s="9">
        <v>0</v>
      </c>
      <c r="G9" s="9">
        <v>6110</v>
      </c>
      <c r="H9" s="9">
        <v>10000</v>
      </c>
      <c r="I9" s="9">
        <v>10000</v>
      </c>
      <c r="J9" s="9">
        <v>10000</v>
      </c>
      <c r="K9" s="9">
        <v>0</v>
      </c>
      <c r="L9" s="9">
        <v>0</v>
      </c>
      <c r="M9" s="9">
        <v>10000</v>
      </c>
      <c r="N9" s="9">
        <v>10000</v>
      </c>
      <c r="O9" s="9">
        <v>10000</v>
      </c>
      <c r="P9" s="9">
        <v>0</v>
      </c>
      <c r="Q9" s="9">
        <v>0</v>
      </c>
      <c r="R9" s="9">
        <f t="shared" si="0"/>
        <v>66110</v>
      </c>
    </row>
    <row r="10" spans="1:18" x14ac:dyDescent="0.4">
      <c r="A10" s="266"/>
      <c r="B10" s="254"/>
      <c r="C10" s="268"/>
      <c r="D10" s="239"/>
      <c r="E10" s="145" t="s">
        <v>30</v>
      </c>
      <c r="F10" s="9">
        <v>0</v>
      </c>
      <c r="G10" s="9">
        <v>10000</v>
      </c>
      <c r="H10" s="9">
        <v>15000</v>
      </c>
      <c r="I10" s="9">
        <v>0</v>
      </c>
      <c r="J10" s="9">
        <v>15000</v>
      </c>
      <c r="K10" s="9">
        <v>0</v>
      </c>
      <c r="L10" s="9">
        <v>0</v>
      </c>
      <c r="M10" s="9">
        <v>0</v>
      </c>
      <c r="N10" s="9">
        <v>15000</v>
      </c>
      <c r="O10" s="9">
        <v>0</v>
      </c>
      <c r="P10" s="9">
        <v>0</v>
      </c>
      <c r="Q10" s="9">
        <v>0</v>
      </c>
      <c r="R10" s="9">
        <f t="shared" si="0"/>
        <v>55000</v>
      </c>
    </row>
    <row r="11" spans="1:18" x14ac:dyDescent="0.4">
      <c r="A11" s="266"/>
      <c r="B11" s="254"/>
      <c r="C11" s="268"/>
      <c r="D11" s="145" t="s">
        <v>31</v>
      </c>
      <c r="E11" s="145" t="s">
        <v>32</v>
      </c>
      <c r="F11" s="9">
        <v>0</v>
      </c>
      <c r="G11" s="9">
        <v>7000</v>
      </c>
      <c r="H11" s="9">
        <v>10000</v>
      </c>
      <c r="I11" s="9">
        <v>10000</v>
      </c>
      <c r="J11" s="9">
        <v>10000</v>
      </c>
      <c r="K11" s="9">
        <v>0</v>
      </c>
      <c r="L11" s="9">
        <v>0</v>
      </c>
      <c r="M11" s="9">
        <v>10000</v>
      </c>
      <c r="N11" s="9">
        <v>10000</v>
      </c>
      <c r="O11" s="9">
        <v>10000</v>
      </c>
      <c r="P11" s="9">
        <v>0</v>
      </c>
      <c r="Q11" s="9">
        <v>0</v>
      </c>
      <c r="R11" s="9">
        <f t="shared" si="0"/>
        <v>67000</v>
      </c>
    </row>
    <row r="12" spans="1:18" x14ac:dyDescent="0.4">
      <c r="A12" s="266"/>
      <c r="B12" s="254"/>
      <c r="C12" s="268" t="s">
        <v>33</v>
      </c>
      <c r="D12" s="142" t="s">
        <v>34</v>
      </c>
      <c r="E12" s="145" t="s">
        <v>35</v>
      </c>
      <c r="F12" s="9">
        <v>0</v>
      </c>
      <c r="G12" s="9">
        <v>10000</v>
      </c>
      <c r="H12" s="15">
        <v>15000</v>
      </c>
      <c r="I12" s="15">
        <v>15000</v>
      </c>
      <c r="J12" s="15">
        <v>15000</v>
      </c>
      <c r="K12" s="9">
        <v>0</v>
      </c>
      <c r="L12" s="9">
        <v>0</v>
      </c>
      <c r="M12" s="15">
        <v>15000</v>
      </c>
      <c r="N12" s="15">
        <v>15000</v>
      </c>
      <c r="O12" s="15">
        <v>15000</v>
      </c>
      <c r="P12" s="9">
        <v>0</v>
      </c>
      <c r="Q12" s="9">
        <v>0</v>
      </c>
      <c r="R12" s="9">
        <f t="shared" si="0"/>
        <v>100000</v>
      </c>
    </row>
    <row r="13" spans="1:18" x14ac:dyDescent="0.4">
      <c r="A13" s="266"/>
      <c r="B13" s="254"/>
      <c r="C13" s="268"/>
      <c r="D13" s="145" t="s">
        <v>36</v>
      </c>
      <c r="E13" s="147" t="s">
        <v>125</v>
      </c>
      <c r="F13" s="9">
        <v>0</v>
      </c>
      <c r="G13" s="18">
        <v>3000</v>
      </c>
      <c r="H13" s="9">
        <v>5000</v>
      </c>
      <c r="I13" s="9">
        <v>5000</v>
      </c>
      <c r="J13" s="9">
        <v>5000</v>
      </c>
      <c r="K13" s="9">
        <v>0</v>
      </c>
      <c r="L13" s="9">
        <v>0</v>
      </c>
      <c r="M13" s="9">
        <v>5000</v>
      </c>
      <c r="N13" s="9">
        <v>5000</v>
      </c>
      <c r="O13" s="9">
        <v>5000</v>
      </c>
      <c r="P13" s="9">
        <v>0</v>
      </c>
      <c r="Q13" s="9">
        <v>0</v>
      </c>
      <c r="R13" s="9">
        <f t="shared" si="0"/>
        <v>33000</v>
      </c>
    </row>
    <row r="14" spans="1:18" x14ac:dyDescent="0.4">
      <c r="A14" s="266"/>
      <c r="B14" s="254"/>
      <c r="C14" s="268"/>
      <c r="D14" s="145" t="s">
        <v>36</v>
      </c>
      <c r="E14" s="147" t="s">
        <v>126</v>
      </c>
      <c r="F14" s="9">
        <v>0</v>
      </c>
      <c r="G14" s="18">
        <v>3000</v>
      </c>
      <c r="H14" s="9">
        <v>5000</v>
      </c>
      <c r="I14" s="9">
        <v>5000</v>
      </c>
      <c r="J14" s="9">
        <v>5000</v>
      </c>
      <c r="K14" s="9">
        <v>0</v>
      </c>
      <c r="L14" s="9">
        <v>0</v>
      </c>
      <c r="M14" s="9">
        <v>5000</v>
      </c>
      <c r="N14" s="9">
        <v>5000</v>
      </c>
      <c r="O14" s="9">
        <v>5000</v>
      </c>
      <c r="P14" s="9">
        <v>0</v>
      </c>
      <c r="Q14" s="9">
        <v>0</v>
      </c>
      <c r="R14" s="9">
        <f t="shared" si="0"/>
        <v>33000</v>
      </c>
    </row>
    <row r="15" spans="1:18" x14ac:dyDescent="0.4">
      <c r="A15" s="266"/>
      <c r="B15" s="254"/>
      <c r="C15" s="268"/>
      <c r="D15" s="144" t="s">
        <v>37</v>
      </c>
      <c r="E15" s="145" t="s">
        <v>38</v>
      </c>
      <c r="F15" s="9">
        <v>0</v>
      </c>
      <c r="G15" s="9">
        <v>3000</v>
      </c>
      <c r="H15" s="9">
        <v>3000</v>
      </c>
      <c r="I15" s="9">
        <v>3000</v>
      </c>
      <c r="J15" s="9">
        <v>3000</v>
      </c>
      <c r="K15" s="9">
        <v>0</v>
      </c>
      <c r="L15" s="9">
        <v>0</v>
      </c>
      <c r="M15" s="9">
        <v>3000</v>
      </c>
      <c r="N15" s="9">
        <v>3000</v>
      </c>
      <c r="O15" s="9"/>
      <c r="P15" s="9">
        <v>0</v>
      </c>
      <c r="Q15" s="9">
        <v>0</v>
      </c>
      <c r="R15" s="9">
        <f t="shared" si="0"/>
        <v>18000</v>
      </c>
    </row>
    <row r="16" spans="1:18" x14ac:dyDescent="0.4">
      <c r="A16" s="266"/>
      <c r="B16" s="254"/>
      <c r="C16" s="268"/>
      <c r="D16" s="145" t="s">
        <v>39</v>
      </c>
      <c r="E16" s="145" t="s">
        <v>127</v>
      </c>
      <c r="F16" s="9">
        <v>0</v>
      </c>
      <c r="G16" s="9">
        <v>0</v>
      </c>
      <c r="H16" s="9">
        <v>5000</v>
      </c>
      <c r="I16" s="9">
        <v>0</v>
      </c>
      <c r="J16" s="9">
        <v>5000</v>
      </c>
      <c r="K16" s="9">
        <v>0</v>
      </c>
      <c r="L16" s="9">
        <v>0</v>
      </c>
      <c r="M16" s="9">
        <v>5000</v>
      </c>
      <c r="N16" s="9">
        <v>5000</v>
      </c>
      <c r="O16" s="9">
        <v>0</v>
      </c>
      <c r="P16" s="9">
        <v>0</v>
      </c>
      <c r="Q16" s="9">
        <v>0</v>
      </c>
      <c r="R16" s="9">
        <f t="shared" si="0"/>
        <v>20000</v>
      </c>
    </row>
    <row r="17" spans="1:18" x14ac:dyDescent="0.4">
      <c r="A17" s="266"/>
      <c r="B17" s="254"/>
      <c r="C17" s="253" t="s">
        <v>40</v>
      </c>
      <c r="D17" s="143" t="s">
        <v>34</v>
      </c>
      <c r="E17" s="145" t="s">
        <v>128</v>
      </c>
      <c r="F17" s="9">
        <v>0</v>
      </c>
      <c r="G17" s="9">
        <v>2473.3000000000002</v>
      </c>
      <c r="H17" s="9">
        <v>5476.6</v>
      </c>
      <c r="I17" s="9">
        <v>5300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f t="shared" si="0"/>
        <v>13249.900000000001</v>
      </c>
    </row>
    <row r="18" spans="1:18" x14ac:dyDescent="0.4">
      <c r="A18" s="266"/>
      <c r="B18" s="254"/>
      <c r="C18" s="254"/>
      <c r="D18" s="143" t="s">
        <v>34</v>
      </c>
      <c r="E18" s="145" t="s">
        <v>129</v>
      </c>
      <c r="F18" s="9">
        <v>0</v>
      </c>
      <c r="G18" s="9">
        <v>3686.6</v>
      </c>
      <c r="H18" s="9">
        <v>8163.3</v>
      </c>
      <c r="I18" s="9">
        <v>7900</v>
      </c>
      <c r="J18" s="9">
        <v>8160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f t="shared" si="0"/>
        <v>27909.9</v>
      </c>
    </row>
    <row r="19" spans="1:18" x14ac:dyDescent="0.4">
      <c r="A19" s="266"/>
      <c r="B19" s="254"/>
      <c r="C19" s="254"/>
      <c r="D19" s="143" t="s">
        <v>34</v>
      </c>
      <c r="E19" s="145" t="s">
        <v>41</v>
      </c>
      <c r="F19" s="9">
        <v>0</v>
      </c>
      <c r="G19" s="9">
        <v>0</v>
      </c>
      <c r="H19" s="9">
        <v>0</v>
      </c>
      <c r="I19" s="9">
        <v>0</v>
      </c>
      <c r="J19" s="9">
        <v>510</v>
      </c>
      <c r="K19" s="9">
        <v>500</v>
      </c>
      <c r="L19" s="9">
        <v>510</v>
      </c>
      <c r="M19" s="9">
        <v>510</v>
      </c>
      <c r="N19" s="9">
        <v>500</v>
      </c>
      <c r="O19" s="9">
        <v>510</v>
      </c>
      <c r="P19" s="9">
        <v>500</v>
      </c>
      <c r="Q19" s="9">
        <v>510</v>
      </c>
      <c r="R19" s="9">
        <f t="shared" si="0"/>
        <v>4050</v>
      </c>
    </row>
    <row r="20" spans="1:18" x14ac:dyDescent="0.4">
      <c r="A20" s="266"/>
      <c r="B20" s="254"/>
      <c r="C20" s="254"/>
      <c r="D20" s="143" t="s">
        <v>34</v>
      </c>
      <c r="E20" s="145" t="s">
        <v>130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3600</v>
      </c>
      <c r="L20" s="9">
        <v>3720</v>
      </c>
      <c r="M20" s="9">
        <v>3720</v>
      </c>
      <c r="N20" s="9">
        <v>3600</v>
      </c>
      <c r="O20" s="9">
        <v>3720</v>
      </c>
      <c r="P20" s="9">
        <v>3600</v>
      </c>
      <c r="Q20" s="9">
        <v>3720</v>
      </c>
      <c r="R20" s="9">
        <f t="shared" si="0"/>
        <v>25680</v>
      </c>
    </row>
    <row r="21" spans="1:18" x14ac:dyDescent="0.4">
      <c r="A21" s="266"/>
      <c r="B21" s="256" t="s">
        <v>42</v>
      </c>
      <c r="C21" s="257"/>
      <c r="D21" s="257"/>
      <c r="E21" s="258"/>
      <c r="F21" s="13">
        <f t="shared" ref="F21:R21" si="2">SUM(F8:F20)</f>
        <v>0</v>
      </c>
      <c r="G21" s="13">
        <f t="shared" si="2"/>
        <v>60269.9</v>
      </c>
      <c r="H21" s="13">
        <f t="shared" si="2"/>
        <v>99639.900000000009</v>
      </c>
      <c r="I21" s="13">
        <f t="shared" si="2"/>
        <v>79200</v>
      </c>
      <c r="J21" s="13">
        <f t="shared" si="2"/>
        <v>94670</v>
      </c>
      <c r="K21" s="13">
        <f t="shared" si="2"/>
        <v>4100</v>
      </c>
      <c r="L21" s="13">
        <f t="shared" si="2"/>
        <v>4230</v>
      </c>
      <c r="M21" s="13">
        <f t="shared" si="2"/>
        <v>75230</v>
      </c>
      <c r="N21" s="13">
        <f t="shared" si="2"/>
        <v>90100</v>
      </c>
      <c r="O21" s="13">
        <f t="shared" si="2"/>
        <v>67230</v>
      </c>
      <c r="P21" s="13">
        <f t="shared" si="2"/>
        <v>4100</v>
      </c>
      <c r="Q21" s="13">
        <f t="shared" si="2"/>
        <v>4230</v>
      </c>
      <c r="R21" s="13">
        <f t="shared" si="2"/>
        <v>582999.80000000005</v>
      </c>
    </row>
    <row r="22" spans="1:18" hidden="1" x14ac:dyDescent="0.4">
      <c r="A22" s="266"/>
      <c r="B22" s="148" t="s">
        <v>43</v>
      </c>
      <c r="C22" s="148" t="s">
        <v>20</v>
      </c>
      <c r="D22" s="140" t="s">
        <v>43</v>
      </c>
      <c r="E22" s="22" t="s">
        <v>44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>SUM(F22:Q22)</f>
        <v>0</v>
      </c>
    </row>
    <row r="23" spans="1:18" hidden="1" x14ac:dyDescent="0.4">
      <c r="A23" s="266"/>
      <c r="B23" s="256" t="s">
        <v>45</v>
      </c>
      <c r="C23" s="257"/>
      <c r="D23" s="257"/>
      <c r="E23" s="258"/>
      <c r="F23" s="13">
        <f t="shared" ref="F23:R23" si="3">SUM(F22:F22)</f>
        <v>0</v>
      </c>
      <c r="G23" s="13">
        <f t="shared" si="3"/>
        <v>0</v>
      </c>
      <c r="H23" s="13">
        <f t="shared" si="3"/>
        <v>0</v>
      </c>
      <c r="I23" s="13">
        <f t="shared" si="3"/>
        <v>0</v>
      </c>
      <c r="J23" s="13">
        <f t="shared" si="3"/>
        <v>0</v>
      </c>
      <c r="K23" s="13">
        <f t="shared" si="3"/>
        <v>0</v>
      </c>
      <c r="L23" s="13">
        <f t="shared" si="3"/>
        <v>0</v>
      </c>
      <c r="M23" s="13">
        <f t="shared" si="3"/>
        <v>0</v>
      </c>
      <c r="N23" s="13">
        <f t="shared" si="3"/>
        <v>0</v>
      </c>
      <c r="O23" s="13">
        <f t="shared" si="3"/>
        <v>0</v>
      </c>
      <c r="P23" s="13">
        <f t="shared" si="3"/>
        <v>0</v>
      </c>
      <c r="Q23" s="13">
        <f t="shared" si="3"/>
        <v>0</v>
      </c>
      <c r="R23" s="13">
        <f t="shared" si="3"/>
        <v>0</v>
      </c>
    </row>
    <row r="24" spans="1:18" x14ac:dyDescent="0.4">
      <c r="A24" s="266"/>
      <c r="B24" s="269" t="s">
        <v>46</v>
      </c>
      <c r="C24" s="253" t="s">
        <v>20</v>
      </c>
      <c r="D24" s="253" t="s">
        <v>47</v>
      </c>
      <c r="E24" s="135" t="s">
        <v>132</v>
      </c>
      <c r="F24" s="9">
        <v>0</v>
      </c>
      <c r="G24" s="9">
        <v>0</v>
      </c>
      <c r="H24" s="9">
        <v>30000</v>
      </c>
      <c r="I24" s="9">
        <v>30000</v>
      </c>
      <c r="J24" s="9">
        <v>30000</v>
      </c>
      <c r="K24" s="9">
        <v>0</v>
      </c>
      <c r="L24" s="9">
        <v>0</v>
      </c>
      <c r="M24" s="9">
        <v>30000</v>
      </c>
      <c r="N24" s="9">
        <v>30000</v>
      </c>
      <c r="O24" s="9">
        <v>0</v>
      </c>
      <c r="P24" s="9">
        <v>0</v>
      </c>
      <c r="Q24" s="9">
        <v>0</v>
      </c>
      <c r="R24" s="9">
        <f t="shared" ref="R24:R29" si="4">SUM(F24:Q24)</f>
        <v>150000</v>
      </c>
    </row>
    <row r="25" spans="1:18" x14ac:dyDescent="0.4">
      <c r="A25" s="266"/>
      <c r="B25" s="270"/>
      <c r="C25" s="254"/>
      <c r="D25" s="254"/>
      <c r="E25" s="135" t="s">
        <v>134</v>
      </c>
      <c r="F25" s="9"/>
      <c r="G25" s="9"/>
      <c r="H25" s="9">
        <v>4600</v>
      </c>
      <c r="I25" s="9">
        <v>4600</v>
      </c>
      <c r="J25" s="9">
        <v>4600</v>
      </c>
      <c r="K25" s="9">
        <v>4600</v>
      </c>
      <c r="L25" s="9">
        <v>4600</v>
      </c>
      <c r="M25" s="9">
        <v>4600</v>
      </c>
      <c r="N25" s="9">
        <v>4600</v>
      </c>
      <c r="O25" s="9">
        <v>4600</v>
      </c>
      <c r="P25" s="9"/>
      <c r="Q25" s="9"/>
      <c r="R25" s="9">
        <f t="shared" si="4"/>
        <v>36800</v>
      </c>
    </row>
    <row r="26" spans="1:18" x14ac:dyDescent="0.4">
      <c r="A26" s="266"/>
      <c r="B26" s="270"/>
      <c r="C26" s="254"/>
      <c r="D26" s="254"/>
      <c r="E26" s="135" t="s">
        <v>133</v>
      </c>
      <c r="F26" s="9"/>
      <c r="G26" s="9"/>
      <c r="H26" s="9">
        <v>18000</v>
      </c>
      <c r="I26" s="9">
        <v>18000</v>
      </c>
      <c r="J26" s="9">
        <v>18000</v>
      </c>
      <c r="K26" s="9"/>
      <c r="L26" s="9"/>
      <c r="M26" s="9">
        <v>18000</v>
      </c>
      <c r="N26" s="9">
        <v>18000</v>
      </c>
      <c r="O26" s="9"/>
      <c r="P26" s="9"/>
      <c r="Q26" s="9"/>
      <c r="R26" s="9">
        <f t="shared" si="4"/>
        <v>90000</v>
      </c>
    </row>
    <row r="27" spans="1:18" x14ac:dyDescent="0.4">
      <c r="A27" s="266"/>
      <c r="B27" s="270"/>
      <c r="C27" s="255"/>
      <c r="D27" s="255"/>
      <c r="E27" s="22" t="s">
        <v>131</v>
      </c>
      <c r="F27" s="9"/>
      <c r="G27" s="9"/>
      <c r="H27" s="9">
        <v>48000</v>
      </c>
      <c r="I27" s="9">
        <v>48000</v>
      </c>
      <c r="J27" s="9"/>
      <c r="K27" s="9"/>
      <c r="L27" s="9"/>
      <c r="M27" s="9"/>
      <c r="N27" s="9"/>
      <c r="O27" s="9"/>
      <c r="P27" s="9"/>
      <c r="Q27" s="9"/>
      <c r="R27" s="9">
        <f t="shared" si="4"/>
        <v>96000</v>
      </c>
    </row>
    <row r="28" spans="1:18" hidden="1" x14ac:dyDescent="0.4">
      <c r="A28" s="266"/>
      <c r="B28" s="270"/>
      <c r="C28" s="253" t="s">
        <v>48</v>
      </c>
      <c r="D28" s="253" t="s">
        <v>48</v>
      </c>
      <c r="E28" s="22" t="s">
        <v>135</v>
      </c>
      <c r="F28" s="9">
        <v>0</v>
      </c>
      <c r="G28" s="9">
        <v>0</v>
      </c>
      <c r="H28" s="138"/>
      <c r="I28" s="9"/>
      <c r="J28" s="9"/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f t="shared" si="4"/>
        <v>0</v>
      </c>
    </row>
    <row r="29" spans="1:18" x14ac:dyDescent="0.4">
      <c r="A29" s="266"/>
      <c r="B29" s="270"/>
      <c r="C29" s="255"/>
      <c r="D29" s="255"/>
      <c r="E29" s="22" t="s">
        <v>138</v>
      </c>
      <c r="F29" s="9">
        <v>0</v>
      </c>
      <c r="G29" s="9">
        <v>0</v>
      </c>
      <c r="H29" s="9">
        <v>85000</v>
      </c>
      <c r="I29" s="9"/>
      <c r="J29" s="9"/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f t="shared" si="4"/>
        <v>85000</v>
      </c>
    </row>
    <row r="30" spans="1:18" x14ac:dyDescent="0.4">
      <c r="A30" s="266"/>
      <c r="B30" s="256" t="s">
        <v>49</v>
      </c>
      <c r="C30" s="257"/>
      <c r="D30" s="257"/>
      <c r="E30" s="258"/>
      <c r="F30" s="13">
        <f t="shared" ref="F30:R30" si="5">SUM(F24:F29)</f>
        <v>0</v>
      </c>
      <c r="G30" s="13">
        <f t="shared" si="5"/>
        <v>0</v>
      </c>
      <c r="H30" s="13">
        <f t="shared" si="5"/>
        <v>185600</v>
      </c>
      <c r="I30" s="13">
        <f t="shared" si="5"/>
        <v>100600</v>
      </c>
      <c r="J30" s="13">
        <f t="shared" si="5"/>
        <v>52600</v>
      </c>
      <c r="K30" s="13">
        <f t="shared" si="5"/>
        <v>4600</v>
      </c>
      <c r="L30" s="13">
        <f t="shared" si="5"/>
        <v>4600</v>
      </c>
      <c r="M30" s="13">
        <f t="shared" si="5"/>
        <v>52600</v>
      </c>
      <c r="N30" s="13">
        <f t="shared" si="5"/>
        <v>52600</v>
      </c>
      <c r="O30" s="13">
        <f t="shared" si="5"/>
        <v>4600</v>
      </c>
      <c r="P30" s="13">
        <f t="shared" si="5"/>
        <v>0</v>
      </c>
      <c r="Q30" s="13">
        <f t="shared" si="5"/>
        <v>0</v>
      </c>
      <c r="R30" s="13">
        <f t="shared" si="5"/>
        <v>457800</v>
      </c>
    </row>
    <row r="31" spans="1:18" hidden="1" x14ac:dyDescent="0.4">
      <c r="A31" s="266"/>
      <c r="B31" s="148" t="s">
        <v>50</v>
      </c>
      <c r="C31" s="140" t="s">
        <v>20</v>
      </c>
      <c r="D31" s="140" t="s">
        <v>51</v>
      </c>
      <c r="E31" s="22" t="s">
        <v>52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/>
      <c r="O31" s="9">
        <v>0</v>
      </c>
      <c r="P31" s="9">
        <v>0</v>
      </c>
      <c r="Q31" s="9">
        <v>0</v>
      </c>
      <c r="R31" s="9">
        <f>J31</f>
        <v>0</v>
      </c>
    </row>
    <row r="32" spans="1:18" hidden="1" x14ac:dyDescent="0.4">
      <c r="A32" s="267"/>
      <c r="B32" s="256" t="s">
        <v>53</v>
      </c>
      <c r="C32" s="257"/>
      <c r="D32" s="257"/>
      <c r="E32" s="258"/>
      <c r="F32" s="13">
        <f t="shared" ref="F32:R32" si="6">SUM(F31:F31)</f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</v>
      </c>
      <c r="L32" s="13">
        <f t="shared" si="6"/>
        <v>0</v>
      </c>
      <c r="M32" s="13">
        <f t="shared" si="6"/>
        <v>0</v>
      </c>
      <c r="N32" s="13">
        <f t="shared" si="6"/>
        <v>0</v>
      </c>
      <c r="O32" s="13">
        <f t="shared" si="6"/>
        <v>0</v>
      </c>
      <c r="P32" s="13">
        <f t="shared" si="6"/>
        <v>0</v>
      </c>
      <c r="Q32" s="13">
        <f t="shared" si="6"/>
        <v>0</v>
      </c>
      <c r="R32" s="13">
        <f t="shared" si="6"/>
        <v>0</v>
      </c>
    </row>
    <row r="33" spans="1:18" x14ac:dyDescent="0.4">
      <c r="A33" s="259" t="s">
        <v>54</v>
      </c>
      <c r="B33" s="259"/>
      <c r="C33" s="259"/>
      <c r="D33" s="259"/>
      <c r="E33" s="259"/>
      <c r="F33" s="23">
        <f>F7+F21</f>
        <v>0</v>
      </c>
      <c r="G33" s="23">
        <f>G7+G21</f>
        <v>360269.9</v>
      </c>
      <c r="H33" s="23">
        <f>H7+H21+H30+H32</f>
        <v>1085239.8999999999</v>
      </c>
      <c r="I33" s="23">
        <f>I7+I21+I23+I30+I32</f>
        <v>979800</v>
      </c>
      <c r="J33" s="23">
        <f>J7+J21+J23+J30+J32</f>
        <v>447270</v>
      </c>
      <c r="K33" s="23">
        <f>K7+K21+K30+K32</f>
        <v>8700</v>
      </c>
      <c r="L33" s="23">
        <f>L7+L21+L30+L32</f>
        <v>8830</v>
      </c>
      <c r="M33" s="23">
        <f>M7+M21+M30+M32</f>
        <v>327830</v>
      </c>
      <c r="N33" s="23">
        <f>N7+N21+N30+N32</f>
        <v>442700</v>
      </c>
      <c r="O33" s="23">
        <f>O7+O21+O32</f>
        <v>67230</v>
      </c>
      <c r="P33" s="23">
        <f>P7+P21+P32</f>
        <v>4100</v>
      </c>
      <c r="Q33" s="23">
        <f>Q7+Q21+Q32</f>
        <v>4230</v>
      </c>
      <c r="R33" s="23">
        <f>R7+R21+R23+R30+R32</f>
        <v>3740799.8</v>
      </c>
    </row>
    <row r="34" spans="1:18" hidden="1" x14ac:dyDescent="0.4">
      <c r="A34" s="236" t="s">
        <v>55</v>
      </c>
      <c r="B34" s="238" t="s">
        <v>19</v>
      </c>
      <c r="C34" s="240" t="s">
        <v>55</v>
      </c>
      <c r="D34" s="238" t="s">
        <v>56</v>
      </c>
      <c r="E34" s="145" t="s">
        <v>57</v>
      </c>
      <c r="F34" s="9">
        <v>0</v>
      </c>
      <c r="G34" s="9"/>
      <c r="H34" s="9"/>
      <c r="I34" s="9">
        <v>0</v>
      </c>
      <c r="J34" s="9">
        <v>0</v>
      </c>
      <c r="K34" s="9">
        <v>0</v>
      </c>
      <c r="L34" s="9">
        <v>0</v>
      </c>
      <c r="M34" s="10">
        <v>0</v>
      </c>
      <c r="N34" s="9">
        <v>0</v>
      </c>
      <c r="O34" s="9">
        <v>0</v>
      </c>
      <c r="P34" s="9">
        <v>0</v>
      </c>
      <c r="Q34" s="9"/>
      <c r="R34" s="9">
        <f t="shared" ref="R34:R52" si="7">SUM(F34:Q34)</f>
        <v>0</v>
      </c>
    </row>
    <row r="35" spans="1:18" hidden="1" x14ac:dyDescent="0.4">
      <c r="A35" s="237"/>
      <c r="B35" s="242"/>
      <c r="C35" s="241"/>
      <c r="D35" s="239"/>
      <c r="E35" s="145" t="s">
        <v>58</v>
      </c>
      <c r="F35" s="9"/>
      <c r="G35" s="9"/>
      <c r="H35" s="9"/>
      <c r="I35" s="9"/>
      <c r="J35" s="9"/>
      <c r="K35" s="9"/>
      <c r="L35" s="9"/>
      <c r="M35" s="10"/>
      <c r="N35" s="9"/>
      <c r="O35" s="9"/>
      <c r="P35" s="9"/>
      <c r="Q35" s="9"/>
      <c r="R35" s="9">
        <f t="shared" si="7"/>
        <v>0</v>
      </c>
    </row>
    <row r="36" spans="1:18" x14ac:dyDescent="0.4">
      <c r="A36" s="237"/>
      <c r="B36" s="239"/>
      <c r="C36" s="241"/>
      <c r="D36" s="143" t="s">
        <v>55</v>
      </c>
      <c r="E36" s="145" t="s">
        <v>59</v>
      </c>
      <c r="F36" s="9">
        <v>0</v>
      </c>
      <c r="G36" s="9">
        <v>0</v>
      </c>
      <c r="H36" s="9">
        <f>20000*1.1765</f>
        <v>23530.000000000004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f t="shared" si="7"/>
        <v>23530.000000000004</v>
      </c>
    </row>
    <row r="37" spans="1:18" ht="17.399999999999999" hidden="1" customHeight="1" x14ac:dyDescent="0.4">
      <c r="A37" s="237"/>
      <c r="B37" s="238" t="s">
        <v>26</v>
      </c>
      <c r="C37" s="242"/>
      <c r="D37" s="238" t="s">
        <v>60</v>
      </c>
      <c r="E37" s="25" t="s">
        <v>61</v>
      </c>
      <c r="F37" s="9">
        <v>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>
        <f t="shared" si="7"/>
        <v>0</v>
      </c>
    </row>
    <row r="38" spans="1:18" x14ac:dyDescent="0.4">
      <c r="A38" s="237"/>
      <c r="B38" s="242"/>
      <c r="C38" s="242"/>
      <c r="D38" s="242"/>
      <c r="E38" s="25" t="s">
        <v>62</v>
      </c>
      <c r="F38" s="9">
        <v>0</v>
      </c>
      <c r="G38" s="9">
        <f>20000*1.1765</f>
        <v>23530.000000000004</v>
      </c>
      <c r="H38" s="9">
        <v>0</v>
      </c>
      <c r="I38" s="9"/>
      <c r="J38" s="9"/>
      <c r="K38" s="9"/>
      <c r="L38" s="9">
        <v>0</v>
      </c>
      <c r="M38" s="9">
        <v>0</v>
      </c>
      <c r="N38" s="9"/>
      <c r="O38" s="9">
        <f>20000*1.1765</f>
        <v>23530.000000000004</v>
      </c>
      <c r="P38" s="9">
        <v>0</v>
      </c>
      <c r="Q38" s="9">
        <v>0</v>
      </c>
      <c r="R38" s="9">
        <f t="shared" si="7"/>
        <v>47060.000000000007</v>
      </c>
    </row>
    <row r="39" spans="1:18" x14ac:dyDescent="0.4">
      <c r="A39" s="237"/>
      <c r="B39" s="242"/>
      <c r="C39" s="242"/>
      <c r="D39" s="239"/>
      <c r="E39" s="25" t="s">
        <v>122</v>
      </c>
      <c r="F39" s="9"/>
      <c r="G39" s="9"/>
      <c r="H39" s="9"/>
      <c r="I39" s="9"/>
      <c r="J39" s="9"/>
      <c r="K39" s="9"/>
      <c r="L39" s="9"/>
      <c r="M39" s="9">
        <f>40000*1.1765</f>
        <v>47060.000000000007</v>
      </c>
      <c r="N39" s="9"/>
      <c r="O39" s="9"/>
      <c r="P39" s="9"/>
      <c r="Q39" s="9">
        <v>0</v>
      </c>
      <c r="R39" s="9">
        <f t="shared" si="7"/>
        <v>47060.000000000007</v>
      </c>
    </row>
    <row r="40" spans="1:18" ht="17.399999999999999" hidden="1" customHeight="1" x14ac:dyDescent="0.4">
      <c r="A40" s="237"/>
      <c r="B40" s="242"/>
      <c r="C40" s="242"/>
      <c r="D40" s="145" t="s">
        <v>63</v>
      </c>
      <c r="E40" s="25" t="s">
        <v>64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>
        <v>0</v>
      </c>
      <c r="R40" s="9">
        <f t="shared" si="7"/>
        <v>0</v>
      </c>
    </row>
    <row r="41" spans="1:18" ht="17.399999999999999" hidden="1" customHeight="1" x14ac:dyDescent="0.4">
      <c r="A41" s="237"/>
      <c r="B41" s="242"/>
      <c r="C41" s="242"/>
      <c r="D41" s="145" t="s">
        <v>65</v>
      </c>
      <c r="E41" s="25" t="s">
        <v>66</v>
      </c>
      <c r="F41" s="9"/>
      <c r="G41" s="9"/>
      <c r="H41" s="9"/>
      <c r="I41" s="9"/>
      <c r="J41" s="9"/>
      <c r="K41" s="9"/>
      <c r="L41" s="9"/>
      <c r="M41" s="9"/>
      <c r="N41" s="9"/>
      <c r="O41" s="26"/>
      <c r="P41" s="9"/>
      <c r="Q41" s="9">
        <v>0</v>
      </c>
      <c r="R41" s="9">
        <f t="shared" si="7"/>
        <v>0</v>
      </c>
    </row>
    <row r="42" spans="1:18" x14ac:dyDescent="0.4">
      <c r="A42" s="237"/>
      <c r="B42" s="242"/>
      <c r="C42" s="242"/>
      <c r="D42" s="145" t="s">
        <v>65</v>
      </c>
      <c r="E42" s="25" t="s">
        <v>67</v>
      </c>
      <c r="F42" s="9">
        <v>0</v>
      </c>
      <c r="G42" s="9">
        <f>5000*1.1765</f>
        <v>5882.5000000000009</v>
      </c>
      <c r="H42" s="9"/>
      <c r="I42" s="9"/>
      <c r="J42" s="9">
        <f>5000*1.1765</f>
        <v>5882.5000000000009</v>
      </c>
      <c r="K42" s="9"/>
      <c r="L42" s="9"/>
      <c r="M42" s="9">
        <v>0</v>
      </c>
      <c r="N42" s="9">
        <f>5000*1.1765</f>
        <v>5882.5000000000009</v>
      </c>
      <c r="O42" s="9">
        <v>0</v>
      </c>
      <c r="P42" s="9">
        <v>0</v>
      </c>
      <c r="Q42" s="9">
        <v>0</v>
      </c>
      <c r="R42" s="9">
        <f t="shared" si="7"/>
        <v>17647.500000000004</v>
      </c>
    </row>
    <row r="43" spans="1:18" x14ac:dyDescent="0.4">
      <c r="A43" s="237"/>
      <c r="B43" s="242"/>
      <c r="C43" s="242"/>
      <c r="D43" s="238" t="s">
        <v>55</v>
      </c>
      <c r="E43" s="25" t="s">
        <v>137</v>
      </c>
      <c r="F43" s="9">
        <v>0</v>
      </c>
      <c r="G43" s="9">
        <f>41000*1.1765</f>
        <v>48236.500000000007</v>
      </c>
      <c r="H43" s="9"/>
      <c r="I43" s="9"/>
      <c r="J43" s="9"/>
      <c r="K43" s="9"/>
      <c r="L43" s="9"/>
      <c r="M43" s="9"/>
      <c r="N43" s="9"/>
      <c r="O43" s="9">
        <v>0</v>
      </c>
      <c r="P43" s="9">
        <v>0</v>
      </c>
      <c r="Q43" s="9">
        <v>0</v>
      </c>
      <c r="R43" s="9">
        <f t="shared" si="7"/>
        <v>48236.500000000007</v>
      </c>
    </row>
    <row r="44" spans="1:18" hidden="1" x14ac:dyDescent="0.4">
      <c r="A44" s="237"/>
      <c r="B44" s="242"/>
      <c r="C44" s="242"/>
      <c r="D44" s="239"/>
      <c r="E44" s="25" t="s">
        <v>122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>
        <f t="shared" si="7"/>
        <v>0</v>
      </c>
    </row>
    <row r="45" spans="1:18" x14ac:dyDescent="0.4">
      <c r="A45" s="237"/>
      <c r="B45" s="239"/>
      <c r="C45" s="242"/>
      <c r="D45" s="145" t="s">
        <v>68</v>
      </c>
      <c r="E45" s="25" t="s">
        <v>69</v>
      </c>
      <c r="F45" s="9">
        <v>0</v>
      </c>
      <c r="G45" s="9">
        <v>1444</v>
      </c>
      <c r="H45" s="9">
        <v>200</v>
      </c>
      <c r="I45" s="9">
        <v>0</v>
      </c>
      <c r="J45" s="9"/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f t="shared" si="7"/>
        <v>1644</v>
      </c>
    </row>
    <row r="46" spans="1:18" hidden="1" x14ac:dyDescent="0.4">
      <c r="A46" s="237"/>
      <c r="B46" s="144" t="s">
        <v>43</v>
      </c>
      <c r="C46" s="242"/>
      <c r="D46" s="145" t="s">
        <v>65</v>
      </c>
      <c r="E46" s="25" t="s">
        <v>70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>
        <v>0</v>
      </c>
      <c r="R46" s="9">
        <f t="shared" si="7"/>
        <v>0</v>
      </c>
    </row>
    <row r="47" spans="1:18" x14ac:dyDescent="0.4">
      <c r="A47" s="237"/>
      <c r="B47" s="238" t="s">
        <v>71</v>
      </c>
      <c r="C47" s="242"/>
      <c r="D47" s="145" t="s">
        <v>65</v>
      </c>
      <c r="E47" s="25" t="s">
        <v>142</v>
      </c>
      <c r="F47" s="9">
        <v>0</v>
      </c>
      <c r="G47" s="9">
        <f>5000*1.1765</f>
        <v>5882.5000000000009</v>
      </c>
      <c r="H47" s="9">
        <f>(400*1.1765)-1</f>
        <v>469.6</v>
      </c>
      <c r="I47" s="9"/>
      <c r="J47" s="9"/>
      <c r="K47" s="9"/>
      <c r="L47" s="9"/>
      <c r="M47" s="9"/>
      <c r="N47" s="9">
        <f>3000*1.1765</f>
        <v>3529.5000000000005</v>
      </c>
      <c r="O47" s="9">
        <f>6590*1.1765-3</f>
        <v>7750.1350000000002</v>
      </c>
      <c r="P47" s="9">
        <v>0</v>
      </c>
      <c r="Q47" s="9">
        <v>0</v>
      </c>
      <c r="R47" s="9">
        <f t="shared" si="7"/>
        <v>17631.735000000001</v>
      </c>
    </row>
    <row r="48" spans="1:18" x14ac:dyDescent="0.4">
      <c r="A48" s="237"/>
      <c r="B48" s="239"/>
      <c r="C48" s="242"/>
      <c r="D48" s="145" t="s">
        <v>141</v>
      </c>
      <c r="E48" s="25" t="s">
        <v>143</v>
      </c>
      <c r="F48" s="9">
        <v>0</v>
      </c>
      <c r="G48" s="9"/>
      <c r="H48" s="9">
        <f>5000+3600</f>
        <v>8600</v>
      </c>
      <c r="I48" s="9"/>
      <c r="J48" s="9"/>
      <c r="K48" s="9"/>
      <c r="L48" s="9"/>
      <c r="M48" s="9">
        <f>5000</f>
        <v>5000</v>
      </c>
      <c r="N48" s="9"/>
      <c r="O48" s="9"/>
      <c r="P48" s="9">
        <v>0</v>
      </c>
      <c r="Q48" s="9">
        <v>0</v>
      </c>
      <c r="R48" s="9">
        <f t="shared" si="7"/>
        <v>13600</v>
      </c>
    </row>
    <row r="49" spans="1:19" x14ac:dyDescent="0.4">
      <c r="A49" s="237"/>
      <c r="B49" s="238" t="s">
        <v>72</v>
      </c>
      <c r="C49" s="242"/>
      <c r="D49" s="27" t="s">
        <v>73</v>
      </c>
      <c r="E49" s="145" t="s">
        <v>74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9">
        <v>0</v>
      </c>
      <c r="Q49" s="15">
        <f>24000*1.1765</f>
        <v>28236.000000000004</v>
      </c>
      <c r="R49" s="9">
        <f t="shared" si="7"/>
        <v>28236.000000000004</v>
      </c>
    </row>
    <row r="50" spans="1:19" x14ac:dyDescent="0.4">
      <c r="A50" s="237"/>
      <c r="B50" s="242"/>
      <c r="C50" s="242"/>
      <c r="D50" s="240" t="s">
        <v>75</v>
      </c>
      <c r="E50" s="145" t="s">
        <v>136</v>
      </c>
      <c r="F50" s="9">
        <v>0</v>
      </c>
      <c r="G50" s="9">
        <v>0</v>
      </c>
      <c r="H50" s="9">
        <f>100*60</f>
        <v>6000</v>
      </c>
      <c r="I50" s="9">
        <v>0</v>
      </c>
      <c r="J50" s="9"/>
      <c r="K50" s="15">
        <v>0</v>
      </c>
      <c r="L50" s="15">
        <v>0</v>
      </c>
      <c r="M50" s="15">
        <v>0</v>
      </c>
      <c r="N50" s="15">
        <v>0</v>
      </c>
      <c r="O50" s="9">
        <v>0</v>
      </c>
      <c r="P50" s="9">
        <f>80*60</f>
        <v>4800</v>
      </c>
      <c r="Q50" s="9">
        <f>60*60</f>
        <v>3600</v>
      </c>
      <c r="R50" s="9">
        <f t="shared" si="7"/>
        <v>14400</v>
      </c>
    </row>
    <row r="51" spans="1:19" x14ac:dyDescent="0.4">
      <c r="A51" s="237"/>
      <c r="B51" s="242"/>
      <c r="C51" s="242"/>
      <c r="D51" s="241"/>
      <c r="E51" s="145" t="s">
        <v>76</v>
      </c>
      <c r="F51" s="9">
        <v>0</v>
      </c>
      <c r="G51" s="9">
        <v>154</v>
      </c>
      <c r="H51" s="9">
        <v>0</v>
      </c>
      <c r="I51" s="9">
        <v>0</v>
      </c>
      <c r="J51" s="9">
        <v>0</v>
      </c>
      <c r="K51" s="15">
        <v>0</v>
      </c>
      <c r="L51" s="15"/>
      <c r="M51" s="15">
        <v>0</v>
      </c>
      <c r="N51" s="15">
        <v>0</v>
      </c>
      <c r="O51" s="9">
        <v>0</v>
      </c>
      <c r="P51" s="9">
        <v>0</v>
      </c>
      <c r="Q51" s="9">
        <v>0</v>
      </c>
      <c r="R51" s="9">
        <f t="shared" si="7"/>
        <v>154</v>
      </c>
    </row>
    <row r="52" spans="1:19" hidden="1" x14ac:dyDescent="0.4">
      <c r="A52" s="260"/>
      <c r="B52" s="239"/>
      <c r="C52" s="239"/>
      <c r="D52" s="244"/>
      <c r="E52" s="145" t="s">
        <v>77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15">
        <v>0</v>
      </c>
      <c r="L52" s="15"/>
      <c r="M52" s="15">
        <v>0</v>
      </c>
      <c r="N52" s="15">
        <v>0</v>
      </c>
      <c r="O52" s="9">
        <v>0</v>
      </c>
      <c r="P52" s="9">
        <v>0</v>
      </c>
      <c r="Q52" s="9">
        <v>0</v>
      </c>
      <c r="R52" s="9">
        <f t="shared" si="7"/>
        <v>0</v>
      </c>
    </row>
    <row r="53" spans="1:19" x14ac:dyDescent="0.4">
      <c r="A53" s="245" t="s">
        <v>78</v>
      </c>
      <c r="B53" s="245"/>
      <c r="C53" s="245"/>
      <c r="D53" s="245"/>
      <c r="E53" s="245"/>
      <c r="F53" s="28">
        <f>SUM(F34:F49)</f>
        <v>0</v>
      </c>
      <c r="G53" s="28">
        <f t="shared" ref="G53:R53" si="8">SUM(G34:G52)</f>
        <v>85129.500000000015</v>
      </c>
      <c r="H53" s="28">
        <f t="shared" si="8"/>
        <v>38799.600000000006</v>
      </c>
      <c r="I53" s="28">
        <f t="shared" si="8"/>
        <v>0</v>
      </c>
      <c r="J53" s="28">
        <f t="shared" si="8"/>
        <v>5882.5000000000009</v>
      </c>
      <c r="K53" s="28">
        <f t="shared" si="8"/>
        <v>0</v>
      </c>
      <c r="L53" s="28">
        <f t="shared" si="8"/>
        <v>0</v>
      </c>
      <c r="M53" s="28">
        <f t="shared" si="8"/>
        <v>52060.000000000007</v>
      </c>
      <c r="N53" s="29">
        <f t="shared" si="8"/>
        <v>9412.0000000000018</v>
      </c>
      <c r="O53" s="28">
        <f t="shared" si="8"/>
        <v>31280.135000000002</v>
      </c>
      <c r="P53" s="28">
        <f t="shared" si="8"/>
        <v>4800</v>
      </c>
      <c r="Q53" s="28">
        <f t="shared" si="8"/>
        <v>31836.000000000004</v>
      </c>
      <c r="R53" s="30">
        <f t="shared" si="8"/>
        <v>259199.73500000004</v>
      </c>
      <c r="S53" s="34"/>
    </row>
    <row r="54" spans="1:19" x14ac:dyDescent="0.4">
      <c r="A54" s="246" t="s">
        <v>79</v>
      </c>
      <c r="B54" s="246"/>
      <c r="C54" s="246"/>
      <c r="D54" s="246"/>
      <c r="E54" s="246"/>
      <c r="F54" s="31">
        <f>SUM(F33,F53)</f>
        <v>0</v>
      </c>
      <c r="G54" s="31">
        <f t="shared" ref="G54:O54" si="9">G33+G53</f>
        <v>445399.4</v>
      </c>
      <c r="H54" s="31">
        <f t="shared" si="9"/>
        <v>1124039.5</v>
      </c>
      <c r="I54" s="31">
        <f t="shared" si="9"/>
        <v>979800</v>
      </c>
      <c r="J54" s="31">
        <f t="shared" si="9"/>
        <v>453152.5</v>
      </c>
      <c r="K54" s="31">
        <f t="shared" si="9"/>
        <v>8700</v>
      </c>
      <c r="L54" s="31">
        <f t="shared" si="9"/>
        <v>8830</v>
      </c>
      <c r="M54" s="31">
        <f t="shared" si="9"/>
        <v>379890</v>
      </c>
      <c r="N54" s="31">
        <f t="shared" si="9"/>
        <v>452112</v>
      </c>
      <c r="O54" s="31">
        <f t="shared" si="9"/>
        <v>98510.135000000009</v>
      </c>
      <c r="P54" s="31">
        <f>SUM(P33,P53)</f>
        <v>8900</v>
      </c>
      <c r="Q54" s="31">
        <f>SUM(Q33,Q53)</f>
        <v>36066</v>
      </c>
      <c r="R54" s="31">
        <f>R33+R53</f>
        <v>3999999.5349999997</v>
      </c>
    </row>
    <row r="55" spans="1:19" x14ac:dyDescent="0.4">
      <c r="A55" s="234" t="s">
        <v>80</v>
      </c>
      <c r="B55" s="234"/>
      <c r="C55" s="234"/>
      <c r="D55" s="234"/>
      <c r="E55" s="234"/>
      <c r="F55" s="32">
        <f>F33+F53</f>
        <v>0</v>
      </c>
      <c r="G55" s="32">
        <f>G33+G53</f>
        <v>445399.4</v>
      </c>
      <c r="H55" s="32">
        <f t="shared" ref="H55:Q55" si="10">SUM(H54:H54)</f>
        <v>1124039.5</v>
      </c>
      <c r="I55" s="32">
        <f t="shared" si="10"/>
        <v>979800</v>
      </c>
      <c r="J55" s="32">
        <f t="shared" si="10"/>
        <v>453152.5</v>
      </c>
      <c r="K55" s="32">
        <f t="shared" si="10"/>
        <v>8700</v>
      </c>
      <c r="L55" s="32">
        <f t="shared" si="10"/>
        <v>8830</v>
      </c>
      <c r="M55" s="32">
        <f t="shared" si="10"/>
        <v>379890</v>
      </c>
      <c r="N55" s="32">
        <f t="shared" si="10"/>
        <v>452112</v>
      </c>
      <c r="O55" s="32">
        <f t="shared" si="10"/>
        <v>98510.135000000009</v>
      </c>
      <c r="P55" s="32">
        <f t="shared" si="10"/>
        <v>8900</v>
      </c>
      <c r="Q55" s="32">
        <f t="shared" si="10"/>
        <v>36066</v>
      </c>
      <c r="R55" s="32">
        <f>R33+R53</f>
        <v>3999999.5349999997</v>
      </c>
    </row>
    <row r="56" spans="1:19" ht="69" customHeight="1" x14ac:dyDescent="0.4">
      <c r="A56" s="235" t="s">
        <v>81</v>
      </c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</row>
    <row r="57" spans="1:19" x14ac:dyDescent="0.4"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</row>
    <row r="58" spans="1:19" x14ac:dyDescent="0.4">
      <c r="A58" s="136" t="s">
        <v>82</v>
      </c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</row>
    <row r="59" spans="1:19" hidden="1" x14ac:dyDescent="0.4">
      <c r="A59" s="236" t="s">
        <v>55</v>
      </c>
      <c r="B59" s="238" t="s">
        <v>19</v>
      </c>
      <c r="C59" s="240" t="s">
        <v>55</v>
      </c>
      <c r="D59" s="145" t="s">
        <v>56</v>
      </c>
      <c r="E59" s="145" t="s">
        <v>57</v>
      </c>
      <c r="F59" s="9">
        <v>0</v>
      </c>
      <c r="G59" s="15">
        <v>0</v>
      </c>
      <c r="H59" s="9"/>
      <c r="I59" s="9">
        <v>0</v>
      </c>
      <c r="J59" s="9">
        <v>0</v>
      </c>
      <c r="K59" s="9">
        <v>0</v>
      </c>
      <c r="L59" s="9">
        <v>0</v>
      </c>
      <c r="M59" s="15">
        <v>0</v>
      </c>
      <c r="N59" s="9">
        <v>0</v>
      </c>
      <c r="O59" s="9">
        <v>0</v>
      </c>
      <c r="P59" s="9">
        <v>0</v>
      </c>
      <c r="Q59" s="9"/>
      <c r="R59" s="9">
        <f t="shared" ref="R59:R76" si="11">SUM(F59:Q59)</f>
        <v>0</v>
      </c>
    </row>
    <row r="60" spans="1:19" x14ac:dyDescent="0.4">
      <c r="A60" s="237"/>
      <c r="B60" s="239"/>
      <c r="C60" s="241"/>
      <c r="D60" s="145" t="s">
        <v>55</v>
      </c>
      <c r="E60" s="145" t="s">
        <v>59</v>
      </c>
      <c r="F60" s="9"/>
      <c r="G60" s="15"/>
      <c r="H60" s="9">
        <v>20000</v>
      </c>
      <c r="I60" s="9"/>
      <c r="J60" s="9"/>
      <c r="K60" s="9"/>
      <c r="L60" s="9"/>
      <c r="M60" s="15"/>
      <c r="N60" s="9"/>
      <c r="O60" s="9"/>
      <c r="P60" s="9"/>
      <c r="Q60" s="9"/>
      <c r="R60" s="9">
        <f t="shared" si="11"/>
        <v>20000</v>
      </c>
    </row>
    <row r="61" spans="1:19" ht="17.399999999999999" hidden="1" customHeight="1" x14ac:dyDescent="0.4">
      <c r="A61" s="237"/>
      <c r="B61" s="243" t="s">
        <v>26</v>
      </c>
      <c r="C61" s="242"/>
      <c r="D61" s="238" t="s">
        <v>60</v>
      </c>
      <c r="E61" s="25" t="s">
        <v>61</v>
      </c>
      <c r="F61" s="9"/>
      <c r="G61" s="15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f t="shared" si="11"/>
        <v>0</v>
      </c>
    </row>
    <row r="62" spans="1:19" x14ac:dyDescent="0.4">
      <c r="A62" s="237"/>
      <c r="B62" s="243"/>
      <c r="C62" s="242"/>
      <c r="D62" s="242"/>
      <c r="E62" s="25" t="s">
        <v>83</v>
      </c>
      <c r="F62" s="9">
        <v>0</v>
      </c>
      <c r="G62" s="9">
        <v>20000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20000</v>
      </c>
      <c r="P62" s="9">
        <v>0</v>
      </c>
      <c r="Q62" s="9">
        <v>0</v>
      </c>
      <c r="R62" s="9">
        <f t="shared" si="11"/>
        <v>40000</v>
      </c>
    </row>
    <row r="63" spans="1:19" x14ac:dyDescent="0.4">
      <c r="A63" s="237"/>
      <c r="B63" s="243"/>
      <c r="C63" s="242"/>
      <c r="D63" s="239"/>
      <c r="E63" s="25" t="s">
        <v>122</v>
      </c>
      <c r="F63" s="9"/>
      <c r="G63" s="9"/>
      <c r="H63" s="9"/>
      <c r="I63" s="9"/>
      <c r="J63" s="9"/>
      <c r="K63" s="9"/>
      <c r="L63" s="9"/>
      <c r="M63" s="9">
        <v>40000</v>
      </c>
      <c r="N63" s="9"/>
      <c r="O63" s="9"/>
      <c r="P63" s="9"/>
      <c r="Q63" s="9"/>
      <c r="R63" s="9">
        <f t="shared" si="11"/>
        <v>40000</v>
      </c>
    </row>
    <row r="64" spans="1:19" hidden="1" x14ac:dyDescent="0.4">
      <c r="A64" s="237"/>
      <c r="B64" s="243"/>
      <c r="C64" s="242"/>
      <c r="D64" s="145" t="s">
        <v>63</v>
      </c>
      <c r="E64" s="25" t="s">
        <v>64</v>
      </c>
      <c r="F64" s="9">
        <v>0</v>
      </c>
      <c r="G64" s="9"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>
        <f t="shared" si="11"/>
        <v>0</v>
      </c>
    </row>
    <row r="65" spans="1:18" hidden="1" x14ac:dyDescent="0.4">
      <c r="A65" s="237"/>
      <c r="B65" s="243"/>
      <c r="C65" s="242"/>
      <c r="D65" s="145" t="s">
        <v>65</v>
      </c>
      <c r="E65" s="25" t="s">
        <v>66</v>
      </c>
      <c r="F65" s="9"/>
      <c r="G65" s="9"/>
      <c r="H65" s="9"/>
      <c r="I65" s="9"/>
      <c r="J65" s="9"/>
      <c r="K65" s="9"/>
      <c r="L65" s="9"/>
      <c r="M65" s="9"/>
      <c r="N65" s="9"/>
      <c r="O65" s="26"/>
      <c r="P65" s="9"/>
      <c r="Q65" s="9"/>
      <c r="R65" s="9">
        <f t="shared" si="11"/>
        <v>0</v>
      </c>
    </row>
    <row r="66" spans="1:18" x14ac:dyDescent="0.4">
      <c r="A66" s="237"/>
      <c r="B66" s="243"/>
      <c r="C66" s="242"/>
      <c r="D66" s="145" t="s">
        <v>65</v>
      </c>
      <c r="E66" s="25" t="s">
        <v>67</v>
      </c>
      <c r="F66" s="9">
        <v>0</v>
      </c>
      <c r="G66" s="9">
        <f>5000</f>
        <v>5000</v>
      </c>
      <c r="H66" s="9"/>
      <c r="I66" s="9"/>
      <c r="J66" s="9">
        <f>5000</f>
        <v>5000</v>
      </c>
      <c r="K66" s="9"/>
      <c r="L66" s="9"/>
      <c r="M66" s="9">
        <v>0</v>
      </c>
      <c r="N66" s="9">
        <f>5000</f>
        <v>5000</v>
      </c>
      <c r="O66" s="9">
        <v>0</v>
      </c>
      <c r="P66" s="9">
        <v>0</v>
      </c>
      <c r="Q66" s="9"/>
      <c r="R66" s="9">
        <f t="shared" si="11"/>
        <v>15000</v>
      </c>
    </row>
    <row r="67" spans="1:18" x14ac:dyDescent="0.4">
      <c r="A67" s="237"/>
      <c r="B67" s="243"/>
      <c r="C67" s="242"/>
      <c r="D67" s="238" t="s">
        <v>55</v>
      </c>
      <c r="E67" s="25" t="s">
        <v>137</v>
      </c>
      <c r="F67" s="9">
        <v>0</v>
      </c>
      <c r="G67" s="9">
        <v>41000</v>
      </c>
      <c r="H67" s="9"/>
      <c r="I67" s="9"/>
      <c r="J67" s="9"/>
      <c r="K67" s="9"/>
      <c r="L67" s="9"/>
      <c r="M67" s="9">
        <v>0</v>
      </c>
      <c r="N67" s="9"/>
      <c r="O67" s="9">
        <v>0</v>
      </c>
      <c r="P67" s="9">
        <v>0</v>
      </c>
      <c r="Q67" s="9"/>
      <c r="R67" s="9">
        <f t="shared" si="11"/>
        <v>41000</v>
      </c>
    </row>
    <row r="68" spans="1:18" hidden="1" x14ac:dyDescent="0.4">
      <c r="A68" s="237"/>
      <c r="B68" s="243"/>
      <c r="C68" s="242"/>
      <c r="D68" s="239"/>
      <c r="E68" s="25" t="s">
        <v>139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>
        <f t="shared" si="11"/>
        <v>0</v>
      </c>
    </row>
    <row r="69" spans="1:18" x14ac:dyDescent="0.4">
      <c r="A69" s="237"/>
      <c r="B69" s="243"/>
      <c r="C69" s="242"/>
      <c r="D69" s="145" t="s">
        <v>68</v>
      </c>
      <c r="E69" s="25" t="s">
        <v>69</v>
      </c>
      <c r="F69" s="15">
        <v>0</v>
      </c>
      <c r="G69" s="155">
        <f>129+(83.6*12)+80+220+11.44</f>
        <v>1443.6399999999999</v>
      </c>
      <c r="H69" s="9">
        <v>200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f t="shared" si="11"/>
        <v>1643.6399999999999</v>
      </c>
    </row>
    <row r="70" spans="1:18" hidden="1" x14ac:dyDescent="0.4">
      <c r="A70" s="237"/>
      <c r="B70" s="144" t="s">
        <v>43</v>
      </c>
      <c r="C70" s="242"/>
      <c r="D70" s="145" t="s">
        <v>65</v>
      </c>
      <c r="E70" s="25" t="s">
        <v>70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>
        <f t="shared" si="11"/>
        <v>0</v>
      </c>
    </row>
    <row r="71" spans="1:18" x14ac:dyDescent="0.4">
      <c r="A71" s="237"/>
      <c r="B71" s="238" t="s">
        <v>71</v>
      </c>
      <c r="C71" s="242"/>
      <c r="D71" s="145" t="s">
        <v>65</v>
      </c>
      <c r="E71" s="25" t="s">
        <v>142</v>
      </c>
      <c r="F71" s="9">
        <v>0</v>
      </c>
      <c r="G71" s="9">
        <v>5000</v>
      </c>
      <c r="H71" s="9">
        <f>400</f>
        <v>400</v>
      </c>
      <c r="I71" s="9"/>
      <c r="J71" s="9"/>
      <c r="K71" s="9"/>
      <c r="L71" s="9"/>
      <c r="M71" s="9"/>
      <c r="N71" s="9">
        <v>3000</v>
      </c>
      <c r="O71" s="9">
        <f>6590-3</f>
        <v>6587</v>
      </c>
      <c r="P71" s="9"/>
      <c r="Q71" s="9">
        <v>0</v>
      </c>
      <c r="R71" s="9">
        <f t="shared" si="11"/>
        <v>14987</v>
      </c>
    </row>
    <row r="72" spans="1:18" x14ac:dyDescent="0.4">
      <c r="A72" s="237"/>
      <c r="B72" s="239"/>
      <c r="C72" s="242"/>
      <c r="D72" s="145" t="s">
        <v>141</v>
      </c>
      <c r="E72" s="25" t="s">
        <v>143</v>
      </c>
      <c r="F72" s="9">
        <v>0</v>
      </c>
      <c r="G72" s="9"/>
      <c r="H72" s="9">
        <f>5000+3600</f>
        <v>8600</v>
      </c>
      <c r="I72" s="9"/>
      <c r="J72" s="9"/>
      <c r="K72" s="9"/>
      <c r="L72" s="9"/>
      <c r="M72" s="9">
        <f>5000</f>
        <v>5000</v>
      </c>
      <c r="N72" s="9"/>
      <c r="O72" s="9"/>
      <c r="P72" s="9"/>
      <c r="Q72" s="9">
        <v>0</v>
      </c>
      <c r="R72" s="9">
        <f t="shared" si="11"/>
        <v>13600</v>
      </c>
    </row>
    <row r="73" spans="1:18" x14ac:dyDescent="0.4">
      <c r="A73" s="237"/>
      <c r="B73" s="238" t="s">
        <v>72</v>
      </c>
      <c r="C73" s="242"/>
      <c r="D73" s="27" t="s">
        <v>73</v>
      </c>
      <c r="E73" s="145" t="s">
        <v>74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24000</v>
      </c>
      <c r="R73" s="9">
        <f t="shared" si="11"/>
        <v>24000</v>
      </c>
    </row>
    <row r="74" spans="1:18" x14ac:dyDescent="0.4">
      <c r="A74" s="237"/>
      <c r="B74" s="242"/>
      <c r="C74" s="242"/>
      <c r="D74" s="240" t="s">
        <v>75</v>
      </c>
      <c r="E74" s="145" t="s">
        <v>123</v>
      </c>
      <c r="F74" s="9">
        <v>0</v>
      </c>
      <c r="G74" s="9">
        <v>0</v>
      </c>
      <c r="H74" s="9">
        <f>100*60</f>
        <v>6000</v>
      </c>
      <c r="I74" s="9">
        <v>0</v>
      </c>
      <c r="J74" s="9"/>
      <c r="K74" s="15">
        <v>0</v>
      </c>
      <c r="L74" s="15">
        <v>0</v>
      </c>
      <c r="M74" s="15">
        <v>0</v>
      </c>
      <c r="N74" s="15">
        <v>0</v>
      </c>
      <c r="O74" s="9">
        <v>0</v>
      </c>
      <c r="P74" s="9">
        <f>80*60</f>
        <v>4800</v>
      </c>
      <c r="Q74" s="9">
        <f>60*60</f>
        <v>3600</v>
      </c>
      <c r="R74" s="9">
        <f t="shared" si="11"/>
        <v>14400</v>
      </c>
    </row>
    <row r="75" spans="1:18" x14ac:dyDescent="0.4">
      <c r="A75" s="237"/>
      <c r="B75" s="242"/>
      <c r="C75" s="242"/>
      <c r="D75" s="241"/>
      <c r="E75" s="145" t="s">
        <v>76</v>
      </c>
      <c r="F75" s="9">
        <v>0</v>
      </c>
      <c r="G75" s="9">
        <v>154</v>
      </c>
      <c r="H75" s="9">
        <v>0</v>
      </c>
      <c r="I75" s="9">
        <v>0</v>
      </c>
      <c r="J75" s="9">
        <v>0</v>
      </c>
      <c r="K75" s="15">
        <v>0</v>
      </c>
      <c r="L75" s="15">
        <v>0</v>
      </c>
      <c r="M75" s="15">
        <v>0</v>
      </c>
      <c r="N75" s="15">
        <v>0</v>
      </c>
      <c r="O75" s="9">
        <v>0</v>
      </c>
      <c r="P75" s="9">
        <v>0</v>
      </c>
      <c r="Q75" s="9">
        <v>0</v>
      </c>
      <c r="R75" s="9">
        <f t="shared" si="11"/>
        <v>154</v>
      </c>
    </row>
    <row r="76" spans="1:18" hidden="1" x14ac:dyDescent="0.4">
      <c r="A76" s="237"/>
      <c r="B76" s="239"/>
      <c r="C76" s="239"/>
      <c r="D76" s="244"/>
      <c r="E76" s="145" t="s">
        <v>77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15">
        <v>0</v>
      </c>
      <c r="L76" s="15">
        <v>0</v>
      </c>
      <c r="M76" s="15">
        <v>0</v>
      </c>
      <c r="N76" s="15">
        <v>0</v>
      </c>
      <c r="O76" s="9">
        <v>0</v>
      </c>
      <c r="P76" s="9">
        <v>0</v>
      </c>
      <c r="Q76" s="9">
        <v>0</v>
      </c>
      <c r="R76" s="9">
        <f t="shared" si="11"/>
        <v>0</v>
      </c>
    </row>
    <row r="77" spans="1:18" ht="17.399999999999999" customHeight="1" x14ac:dyDescent="0.4">
      <c r="A77" s="247" t="s">
        <v>78</v>
      </c>
      <c r="B77" s="248"/>
      <c r="C77" s="248"/>
      <c r="D77" s="248"/>
      <c r="E77" s="249"/>
      <c r="F77" s="28">
        <f t="shared" ref="F77:R77" si="12">SUM(F59:F76)</f>
        <v>0</v>
      </c>
      <c r="G77" s="28">
        <f t="shared" si="12"/>
        <v>72597.64</v>
      </c>
      <c r="H77" s="28">
        <f t="shared" si="12"/>
        <v>35200</v>
      </c>
      <c r="I77" s="28">
        <f t="shared" si="12"/>
        <v>0</v>
      </c>
      <c r="J77" s="28">
        <f t="shared" si="12"/>
        <v>5000</v>
      </c>
      <c r="K77" s="28">
        <f t="shared" si="12"/>
        <v>0</v>
      </c>
      <c r="L77" s="28">
        <f t="shared" si="12"/>
        <v>0</v>
      </c>
      <c r="M77" s="28">
        <f t="shared" si="12"/>
        <v>45000</v>
      </c>
      <c r="N77" s="28">
        <f t="shared" si="12"/>
        <v>8000</v>
      </c>
      <c r="O77" s="28">
        <f t="shared" si="12"/>
        <v>26587</v>
      </c>
      <c r="P77" s="28">
        <f t="shared" si="12"/>
        <v>4800</v>
      </c>
      <c r="Q77" s="28">
        <f t="shared" si="12"/>
        <v>27600</v>
      </c>
      <c r="R77" s="30">
        <f t="shared" si="12"/>
        <v>224784.64000000001</v>
      </c>
    </row>
    <row r="78" spans="1:18" x14ac:dyDescent="0.4">
      <c r="A78" s="250" t="s">
        <v>84</v>
      </c>
      <c r="B78" s="251"/>
      <c r="C78" s="251"/>
      <c r="D78" s="251"/>
      <c r="E78" s="252"/>
      <c r="F78" s="35">
        <f t="shared" ref="F78:Q78" si="13">SUM(F60:F67)*17.65%+F71*17.65%+F73*17.65%</f>
        <v>0</v>
      </c>
      <c r="G78" s="35">
        <f t="shared" si="13"/>
        <v>12531.5</v>
      </c>
      <c r="H78" s="35">
        <f t="shared" si="13"/>
        <v>3600.6</v>
      </c>
      <c r="I78" s="35">
        <f t="shared" si="13"/>
        <v>0</v>
      </c>
      <c r="J78" s="35">
        <f t="shared" si="13"/>
        <v>882.5</v>
      </c>
      <c r="K78" s="35">
        <f t="shared" si="13"/>
        <v>0</v>
      </c>
      <c r="L78" s="35">
        <f t="shared" si="13"/>
        <v>0</v>
      </c>
      <c r="M78" s="35">
        <f t="shared" si="13"/>
        <v>7060</v>
      </c>
      <c r="N78" s="35">
        <f t="shared" si="13"/>
        <v>1412</v>
      </c>
      <c r="O78" s="35">
        <f t="shared" si="13"/>
        <v>4692.6054999999997</v>
      </c>
      <c r="P78" s="35">
        <f t="shared" si="13"/>
        <v>0</v>
      </c>
      <c r="Q78" s="35">
        <f t="shared" si="13"/>
        <v>4236</v>
      </c>
      <c r="R78" s="35">
        <f>SUM(F78:Q78)</f>
        <v>34415.205499999996</v>
      </c>
    </row>
    <row r="79" spans="1:18" x14ac:dyDescent="0.4">
      <c r="A79" s="234" t="s">
        <v>85</v>
      </c>
      <c r="B79" s="234"/>
      <c r="C79" s="234"/>
      <c r="D79" s="234"/>
      <c r="E79" s="234"/>
      <c r="F79" s="36">
        <f>F77+F78</f>
        <v>0</v>
      </c>
      <c r="G79" s="36">
        <f>G77+G78</f>
        <v>85129.14</v>
      </c>
      <c r="H79" s="36">
        <f>H77+H78</f>
        <v>38800.6</v>
      </c>
      <c r="I79" s="36">
        <f>I77+I78</f>
        <v>0</v>
      </c>
      <c r="J79" s="36">
        <f>J77+J78-1</f>
        <v>5881.5</v>
      </c>
      <c r="K79" s="36">
        <f t="shared" ref="K79:R79" si="14">K77+K78</f>
        <v>0</v>
      </c>
      <c r="L79" s="36">
        <f t="shared" si="14"/>
        <v>0</v>
      </c>
      <c r="M79" s="36">
        <f t="shared" si="14"/>
        <v>52060</v>
      </c>
      <c r="N79" s="36">
        <f t="shared" si="14"/>
        <v>9412</v>
      </c>
      <c r="O79" s="36">
        <f t="shared" si="14"/>
        <v>31279.605499999998</v>
      </c>
      <c r="P79" s="36">
        <f t="shared" si="14"/>
        <v>4800</v>
      </c>
      <c r="Q79" s="36">
        <f t="shared" si="14"/>
        <v>31836</v>
      </c>
      <c r="R79" s="36">
        <f t="shared" si="14"/>
        <v>259199.8455</v>
      </c>
    </row>
    <row r="80" spans="1:18" x14ac:dyDescent="0.4">
      <c r="H80" s="33"/>
      <c r="I80" s="33"/>
      <c r="J80" s="33"/>
      <c r="K80" s="33"/>
      <c r="L80" s="33"/>
      <c r="M80" s="33"/>
      <c r="N80" s="33"/>
      <c r="O80" s="33"/>
      <c r="P80" s="33"/>
    </row>
    <row r="81" spans="6:18" hidden="1" x14ac:dyDescent="0.4">
      <c r="L81" s="35"/>
      <c r="M81" s="35"/>
      <c r="N81" s="33"/>
    </row>
    <row r="82" spans="6:18" hidden="1" x14ac:dyDescent="0.4">
      <c r="O82" s="37"/>
    </row>
    <row r="83" spans="6:18" hidden="1" x14ac:dyDescent="0.4">
      <c r="O83" s="37"/>
      <c r="P83" s="33"/>
      <c r="R83" s="33"/>
    </row>
    <row r="84" spans="6:18" hidden="1" x14ac:dyDescent="0.4">
      <c r="O84" s="37"/>
    </row>
    <row r="85" spans="6:18" hidden="1" x14ac:dyDescent="0.4">
      <c r="F85" s="37"/>
      <c r="O85" s="33"/>
    </row>
    <row r="87" spans="6:18" x14ac:dyDescent="0.4">
      <c r="F87" s="34"/>
    </row>
  </sheetData>
  <mergeCells count="48">
    <mergeCell ref="A1:F1"/>
    <mergeCell ref="A3:D3"/>
    <mergeCell ref="A4:E4"/>
    <mergeCell ref="A5:A32"/>
    <mergeCell ref="B5:B6"/>
    <mergeCell ref="C5:C6"/>
    <mergeCell ref="B7:E7"/>
    <mergeCell ref="B8:B20"/>
    <mergeCell ref="C8:C11"/>
    <mergeCell ref="D8:D10"/>
    <mergeCell ref="D24:D27"/>
    <mergeCell ref="C12:C16"/>
    <mergeCell ref="C17:C20"/>
    <mergeCell ref="B21:E21"/>
    <mergeCell ref="B23:E23"/>
    <mergeCell ref="B24:B29"/>
    <mergeCell ref="C24:C27"/>
    <mergeCell ref="D28:D29"/>
    <mergeCell ref="A79:E79"/>
    <mergeCell ref="A56:R56"/>
    <mergeCell ref="A59:A76"/>
    <mergeCell ref="B59:B60"/>
    <mergeCell ref="C59:C76"/>
    <mergeCell ref="D34:D35"/>
    <mergeCell ref="B37:B45"/>
    <mergeCell ref="B49:B52"/>
    <mergeCell ref="D50:D52"/>
    <mergeCell ref="C28:C29"/>
    <mergeCell ref="D37:D39"/>
    <mergeCell ref="B30:E30"/>
    <mergeCell ref="B32:E32"/>
    <mergeCell ref="A33:E33"/>
    <mergeCell ref="A34:A52"/>
    <mergeCell ref="B34:B36"/>
    <mergeCell ref="C34:C52"/>
    <mergeCell ref="D43:D44"/>
    <mergeCell ref="A78:E78"/>
    <mergeCell ref="B47:B48"/>
    <mergeCell ref="B71:B72"/>
    <mergeCell ref="B61:B69"/>
    <mergeCell ref="D61:D63"/>
    <mergeCell ref="B73:B76"/>
    <mergeCell ref="D67:D68"/>
    <mergeCell ref="D74:D76"/>
    <mergeCell ref="A77:E77"/>
    <mergeCell ref="A53:E53"/>
    <mergeCell ref="A54:E54"/>
    <mergeCell ref="A55:E55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6" max="17" man="1"/>
    <brk id="79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FB35-C594-426C-9191-B9C7B6C06B22}">
  <sheetPr>
    <tabColor rgb="FFFF0000"/>
  </sheetPr>
  <dimension ref="B1:W29"/>
  <sheetViews>
    <sheetView zoomScale="81" zoomScaleNormal="81" workbookViewId="0">
      <selection activeCell="B8" sqref="B8"/>
    </sheetView>
  </sheetViews>
  <sheetFormatPr defaultColWidth="10.59765625" defaultRowHeight="20.100000000000001" customHeight="1" x14ac:dyDescent="0.4"/>
  <cols>
    <col min="1" max="1" width="1.59765625" style="38" customWidth="1"/>
    <col min="2" max="2" width="9.09765625" style="38" customWidth="1"/>
    <col min="3" max="3" width="5.59765625" style="38" customWidth="1"/>
    <col min="4" max="9" width="10.59765625" style="38" bestFit="1" customWidth="1"/>
    <col min="10" max="10" width="10.69921875" style="38" bestFit="1" customWidth="1"/>
    <col min="11" max="12" width="10.59765625" style="38" bestFit="1" customWidth="1"/>
    <col min="13" max="13" width="10.69921875" style="38" bestFit="1" customWidth="1"/>
    <col min="14" max="17" width="9.09765625" style="38" customWidth="1"/>
    <col min="18" max="19" width="10.59765625" style="38"/>
    <col min="20" max="20" width="10.5" style="38" customWidth="1"/>
    <col min="21" max="16384" width="10.59765625" style="38"/>
  </cols>
  <sheetData>
    <row r="1" spans="2:22" ht="10.199999999999999" customHeight="1" x14ac:dyDescent="0.4"/>
    <row r="2" spans="2:22" ht="30.15" customHeight="1" x14ac:dyDescent="0.3">
      <c r="B2" s="39" t="s">
        <v>114</v>
      </c>
      <c r="U2" s="40" t="s">
        <v>149</v>
      </c>
      <c r="V2" s="41"/>
    </row>
    <row r="3" spans="2:22" s="44" customFormat="1" ht="1.2" customHeight="1" thickBot="1" x14ac:dyDescent="0.4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  <c r="R3" s="43"/>
      <c r="S3" s="43"/>
      <c r="T3" s="43"/>
      <c r="U3" s="42"/>
    </row>
    <row r="4" spans="2:22" s="44" customFormat="1" ht="2.1" customHeight="1" thickTop="1" x14ac:dyDescent="0.4">
      <c r="U4" s="45"/>
    </row>
    <row r="5" spans="2:22" s="44" customFormat="1" ht="2.1" customHeight="1" x14ac:dyDescent="0.4">
      <c r="U5" s="45"/>
    </row>
    <row r="6" spans="2:22" s="48" customFormat="1" ht="20.100000000000001" customHeight="1" x14ac:dyDescent="0.4"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7" t="s">
        <v>86</v>
      </c>
    </row>
    <row r="7" spans="2:22" s="48" customFormat="1" ht="20.100000000000001" customHeight="1" x14ac:dyDescent="0.4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 spans="2:22" s="48" customFormat="1" ht="20.100000000000001" customHeight="1" x14ac:dyDescent="0.4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</row>
    <row r="9" spans="2:22" ht="5.0999999999999996" customHeight="1" x14ac:dyDescent="0.4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51"/>
      <c r="R9" s="51"/>
      <c r="S9" s="51"/>
      <c r="T9" s="51"/>
    </row>
    <row r="10" spans="2:22" ht="24.9" customHeight="1" x14ac:dyDescent="0.35">
      <c r="B10" s="52" t="s">
        <v>87</v>
      </c>
      <c r="C10" s="52"/>
      <c r="D10" s="52"/>
      <c r="E10" s="52"/>
      <c r="F10" s="52"/>
      <c r="G10" s="52"/>
      <c r="H10" s="52"/>
      <c r="I10" s="52"/>
      <c r="J10" s="52"/>
      <c r="K10" s="52"/>
      <c r="M10" s="52"/>
      <c r="N10" s="52"/>
      <c r="O10" s="52"/>
      <c r="P10" s="52"/>
      <c r="Q10" s="52"/>
      <c r="R10" s="53"/>
      <c r="S10" s="53"/>
      <c r="T10" s="53"/>
      <c r="U10" s="54" t="s">
        <v>88</v>
      </c>
    </row>
    <row r="11" spans="2:22" ht="20.100000000000001" customHeight="1" thickBot="1" x14ac:dyDescent="0.45">
      <c r="B11" s="286" t="s">
        <v>89</v>
      </c>
      <c r="C11" s="287"/>
      <c r="D11" s="55" t="s">
        <v>90</v>
      </c>
      <c r="E11" s="56" t="s">
        <v>91</v>
      </c>
      <c r="F11" s="57" t="s">
        <v>92</v>
      </c>
      <c r="G11" s="56" t="s">
        <v>93</v>
      </c>
      <c r="H11" s="232" t="s">
        <v>94</v>
      </c>
      <c r="I11" s="232" t="s">
        <v>95</v>
      </c>
      <c r="J11" s="232" t="s">
        <v>6</v>
      </c>
      <c r="K11" s="232" t="s">
        <v>7</v>
      </c>
      <c r="L11" s="57" t="s">
        <v>8</v>
      </c>
      <c r="M11" s="56" t="s">
        <v>9</v>
      </c>
      <c r="N11" s="232" t="s">
        <v>10</v>
      </c>
      <c r="O11" s="232" t="s">
        <v>11</v>
      </c>
      <c r="P11" s="232" t="s">
        <v>12</v>
      </c>
      <c r="Q11" s="232" t="s">
        <v>13</v>
      </c>
      <c r="R11" s="57" t="s">
        <v>14</v>
      </c>
      <c r="S11" s="288" t="s">
        <v>96</v>
      </c>
      <c r="T11" s="288"/>
      <c r="U11" s="289"/>
    </row>
    <row r="12" spans="2:22" ht="20.100000000000001" customHeight="1" thickTop="1" x14ac:dyDescent="0.4">
      <c r="B12" s="59" t="s">
        <v>97</v>
      </c>
      <c r="C12" s="60" t="s">
        <v>98</v>
      </c>
      <c r="D12" s="61">
        <f>SUM(E12:F12)</f>
        <v>4985000</v>
      </c>
      <c r="E12" s="62">
        <f>SUM(G12:L12)</f>
        <v>2999457</v>
      </c>
      <c r="F12" s="63">
        <f>SUM(M12:R12)</f>
        <v>1985543</v>
      </c>
      <c r="G12" s="64">
        <f t="shared" ref="G12:R12" si="0">SUM(G13:G13)</f>
        <v>0</v>
      </c>
      <c r="H12" s="65">
        <f t="shared" si="0"/>
        <v>382344</v>
      </c>
      <c r="I12" s="65">
        <f t="shared" si="0"/>
        <v>1122360</v>
      </c>
      <c r="J12" s="65">
        <f t="shared" si="0"/>
        <v>1032100</v>
      </c>
      <c r="K12" s="65">
        <f t="shared" si="0"/>
        <v>449974</v>
      </c>
      <c r="L12" s="66">
        <f t="shared" si="0"/>
        <v>12679</v>
      </c>
      <c r="M12" s="64">
        <f t="shared" si="0"/>
        <v>8830</v>
      </c>
      <c r="N12" s="65">
        <f t="shared" si="0"/>
        <v>480282</v>
      </c>
      <c r="O12" s="65">
        <f t="shared" si="0"/>
        <v>362610</v>
      </c>
      <c r="P12" s="65">
        <f t="shared" si="0"/>
        <v>75697</v>
      </c>
      <c r="Q12" s="65">
        <f t="shared" si="0"/>
        <v>65894</v>
      </c>
      <c r="R12" s="66">
        <f t="shared" si="0"/>
        <v>992230</v>
      </c>
      <c r="S12" s="290"/>
      <c r="T12" s="290"/>
      <c r="U12" s="291"/>
    </row>
    <row r="13" spans="2:22" ht="20.100000000000001" customHeight="1" x14ac:dyDescent="0.4">
      <c r="B13" s="67" t="s">
        <v>99</v>
      </c>
      <c r="C13" s="68" t="s">
        <v>100</v>
      </c>
      <c r="D13" s="69">
        <f>SUM(E13:F13)</f>
        <v>4985000</v>
      </c>
      <c r="E13" s="70">
        <f>SUM(G13:L13)</f>
        <v>2999457</v>
      </c>
      <c r="F13" s="71">
        <f>SUM(M13:R13)</f>
        <v>1985543</v>
      </c>
      <c r="G13" s="72">
        <f>J26</f>
        <v>0</v>
      </c>
      <c r="H13" s="73">
        <f t="shared" ref="H13:R13" si="1">K26</f>
        <v>382344</v>
      </c>
      <c r="I13" s="73">
        <f t="shared" si="1"/>
        <v>1122360</v>
      </c>
      <c r="J13" s="73">
        <f t="shared" si="1"/>
        <v>1032100</v>
      </c>
      <c r="K13" s="73">
        <f t="shared" si="1"/>
        <v>449974</v>
      </c>
      <c r="L13" s="74">
        <f t="shared" si="1"/>
        <v>12679</v>
      </c>
      <c r="M13" s="75">
        <f t="shared" si="1"/>
        <v>8830</v>
      </c>
      <c r="N13" s="76">
        <f t="shared" si="1"/>
        <v>480282</v>
      </c>
      <c r="O13" s="76">
        <f t="shared" si="1"/>
        <v>362610</v>
      </c>
      <c r="P13" s="76">
        <f t="shared" si="1"/>
        <v>75697</v>
      </c>
      <c r="Q13" s="76">
        <f t="shared" si="1"/>
        <v>65894</v>
      </c>
      <c r="R13" s="77">
        <f t="shared" si="1"/>
        <v>992230</v>
      </c>
      <c r="S13" s="78"/>
      <c r="T13" s="78"/>
      <c r="U13" s="79"/>
    </row>
    <row r="14" spans="2:22" ht="10.199999999999999" customHeight="1" x14ac:dyDescent="0.4">
      <c r="B14" s="80"/>
      <c r="C14" s="81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1"/>
      <c r="T14" s="81"/>
      <c r="U14" s="81"/>
    </row>
    <row r="15" spans="2:22" ht="24.9" customHeight="1" x14ac:dyDescent="0.4">
      <c r="B15" s="83" t="s">
        <v>101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U15" s="54" t="s">
        <v>88</v>
      </c>
    </row>
    <row r="16" spans="2:22" ht="20.100000000000001" customHeight="1" thickBot="1" x14ac:dyDescent="0.45">
      <c r="B16" s="292" t="s">
        <v>89</v>
      </c>
      <c r="C16" s="293"/>
      <c r="D16" s="232" t="s">
        <v>102</v>
      </c>
      <c r="E16" s="294" t="s">
        <v>103</v>
      </c>
      <c r="F16" s="295"/>
      <c r="G16" s="85" t="s">
        <v>90</v>
      </c>
      <c r="H16" s="56" t="s">
        <v>91</v>
      </c>
      <c r="I16" s="57" t="s">
        <v>92</v>
      </c>
      <c r="J16" s="56" t="s">
        <v>93</v>
      </c>
      <c r="K16" s="232" t="s">
        <v>94</v>
      </c>
      <c r="L16" s="57" t="s">
        <v>95</v>
      </c>
      <c r="M16" s="86" t="s">
        <v>6</v>
      </c>
      <c r="N16" s="232" t="s">
        <v>7</v>
      </c>
      <c r="O16" s="233" t="s">
        <v>8</v>
      </c>
      <c r="P16" s="56" t="s">
        <v>9</v>
      </c>
      <c r="Q16" s="232" t="s">
        <v>10</v>
      </c>
      <c r="R16" s="233" t="s">
        <v>11</v>
      </c>
      <c r="S16" s="56" t="s">
        <v>12</v>
      </c>
      <c r="T16" s="232" t="s">
        <v>13</v>
      </c>
      <c r="U16" s="57" t="s">
        <v>14</v>
      </c>
    </row>
    <row r="17" spans="2:23" ht="20.100000000000001" customHeight="1" thickTop="1" x14ac:dyDescent="0.4">
      <c r="B17" s="281" t="s">
        <v>99</v>
      </c>
      <c r="C17" s="282" t="s">
        <v>100</v>
      </c>
      <c r="D17" s="88">
        <v>6116001</v>
      </c>
      <c r="E17" s="284" t="s">
        <v>104</v>
      </c>
      <c r="F17" s="285"/>
      <c r="G17" s="89">
        <f t="shared" ref="G17:G24" si="2">SUM(H17:I17)</f>
        <v>1600000</v>
      </c>
      <c r="H17" s="90">
        <f t="shared" ref="H17:H24" si="3">SUM(J17:O17)</f>
        <v>1230000</v>
      </c>
      <c r="I17" s="91">
        <f t="shared" ref="I17:I24" si="4">SUM(P17:U17)</f>
        <v>370000</v>
      </c>
      <c r="J17" s="92">
        <v>0</v>
      </c>
      <c r="K17" s="93">
        <v>300000</v>
      </c>
      <c r="L17" s="94">
        <v>330000</v>
      </c>
      <c r="M17" s="95">
        <v>350000</v>
      </c>
      <c r="N17" s="93">
        <v>250000</v>
      </c>
      <c r="O17" s="96">
        <v>0</v>
      </c>
      <c r="P17" s="92">
        <v>0</v>
      </c>
      <c r="Q17" s="93">
        <v>210000</v>
      </c>
      <c r="R17" s="97">
        <v>160000</v>
      </c>
      <c r="S17" s="92"/>
      <c r="T17" s="98">
        <v>0</v>
      </c>
      <c r="U17" s="99">
        <v>0</v>
      </c>
    </row>
    <row r="18" spans="2:23" ht="20.100000000000001" customHeight="1" x14ac:dyDescent="0.4">
      <c r="B18" s="266"/>
      <c r="C18" s="283"/>
      <c r="D18" s="100">
        <v>6116003</v>
      </c>
      <c r="E18" s="274" t="s">
        <v>105</v>
      </c>
      <c r="F18" s="275"/>
      <c r="G18" s="101">
        <f t="shared" si="2"/>
        <v>0</v>
      </c>
      <c r="H18" s="102">
        <f t="shared" si="3"/>
        <v>0</v>
      </c>
      <c r="I18" s="103">
        <f t="shared" si="4"/>
        <v>0</v>
      </c>
      <c r="J18" s="104">
        <v>0</v>
      </c>
      <c r="K18" s="105">
        <v>0</v>
      </c>
      <c r="L18" s="106">
        <v>0</v>
      </c>
      <c r="M18" s="107">
        <v>0</v>
      </c>
      <c r="N18" s="105">
        <v>0</v>
      </c>
      <c r="O18" s="108">
        <v>0</v>
      </c>
      <c r="P18" s="104">
        <v>0</v>
      </c>
      <c r="Q18" s="105">
        <v>0</v>
      </c>
      <c r="R18" s="108"/>
      <c r="S18" s="104">
        <v>0</v>
      </c>
      <c r="T18" s="109">
        <v>0</v>
      </c>
      <c r="U18" s="110">
        <v>0</v>
      </c>
    </row>
    <row r="19" spans="2:23" ht="20.100000000000001" customHeight="1" x14ac:dyDescent="0.4">
      <c r="B19" s="266"/>
      <c r="C19" s="283"/>
      <c r="D19" s="100">
        <v>6116004</v>
      </c>
      <c r="E19" s="274" t="s">
        <v>106</v>
      </c>
      <c r="F19" s="275"/>
      <c r="G19" s="101">
        <f t="shared" si="2"/>
        <v>0</v>
      </c>
      <c r="H19" s="111">
        <f t="shared" si="3"/>
        <v>0</v>
      </c>
      <c r="I19" s="112">
        <f t="shared" si="4"/>
        <v>0</v>
      </c>
      <c r="J19" s="104">
        <v>0</v>
      </c>
      <c r="K19" s="105">
        <v>0</v>
      </c>
      <c r="L19" s="106">
        <v>0</v>
      </c>
      <c r="M19" s="107">
        <v>0</v>
      </c>
      <c r="N19" s="105">
        <v>0</v>
      </c>
      <c r="O19" s="108">
        <v>0</v>
      </c>
      <c r="P19" s="104">
        <v>0</v>
      </c>
      <c r="Q19" s="105">
        <v>0</v>
      </c>
      <c r="R19" s="108">
        <v>0</v>
      </c>
      <c r="S19" s="104">
        <v>0</v>
      </c>
      <c r="T19" s="109">
        <v>0</v>
      </c>
      <c r="U19" s="110">
        <v>0</v>
      </c>
    </row>
    <row r="20" spans="2:23" ht="20.100000000000001" customHeight="1" x14ac:dyDescent="0.4">
      <c r="B20" s="266"/>
      <c r="C20" s="283"/>
      <c r="D20" s="100">
        <v>6116005</v>
      </c>
      <c r="E20" s="274" t="s">
        <v>107</v>
      </c>
      <c r="F20" s="275"/>
      <c r="G20" s="101">
        <f t="shared" si="2"/>
        <v>0</v>
      </c>
      <c r="H20" s="111">
        <f t="shared" si="3"/>
        <v>0</v>
      </c>
      <c r="I20" s="112">
        <f t="shared" si="4"/>
        <v>0</v>
      </c>
      <c r="J20" s="104">
        <v>0</v>
      </c>
      <c r="K20" s="105">
        <v>0</v>
      </c>
      <c r="L20" s="106">
        <v>0</v>
      </c>
      <c r="M20" s="107">
        <v>0</v>
      </c>
      <c r="N20" s="105">
        <v>0</v>
      </c>
      <c r="O20" s="108">
        <v>0</v>
      </c>
      <c r="P20" s="104">
        <v>0</v>
      </c>
      <c r="Q20" s="105">
        <v>0</v>
      </c>
      <c r="R20" s="108">
        <v>0</v>
      </c>
      <c r="S20" s="104">
        <v>0</v>
      </c>
      <c r="T20" s="109">
        <v>0</v>
      </c>
      <c r="U20" s="110">
        <v>0</v>
      </c>
    </row>
    <row r="21" spans="2:23" ht="20.100000000000001" customHeight="1" x14ac:dyDescent="0.4">
      <c r="B21" s="266"/>
      <c r="C21" s="283"/>
      <c r="D21" s="100">
        <v>6116006</v>
      </c>
      <c r="E21" s="274" t="s">
        <v>108</v>
      </c>
      <c r="F21" s="275"/>
      <c r="G21" s="101">
        <f t="shared" si="2"/>
        <v>583000</v>
      </c>
      <c r="H21" s="111">
        <f t="shared" si="3"/>
        <v>337880</v>
      </c>
      <c r="I21" s="112">
        <f t="shared" si="4"/>
        <v>245120</v>
      </c>
      <c r="J21" s="104">
        <v>0</v>
      </c>
      <c r="K21" s="105">
        <v>60270</v>
      </c>
      <c r="L21" s="106">
        <v>99640</v>
      </c>
      <c r="M21" s="107">
        <v>79200</v>
      </c>
      <c r="N21" s="105">
        <v>91770</v>
      </c>
      <c r="O21" s="105">
        <v>7000</v>
      </c>
      <c r="P21" s="104">
        <v>4230</v>
      </c>
      <c r="Q21" s="105">
        <f>120660+3000</f>
        <v>123660</v>
      </c>
      <c r="R21" s="108">
        <v>97810</v>
      </c>
      <c r="S21" s="104">
        <v>6190</v>
      </c>
      <c r="T21" s="109">
        <v>6000</v>
      </c>
      <c r="U21" s="110">
        <v>7230</v>
      </c>
    </row>
    <row r="22" spans="2:23" ht="20.100000000000001" customHeight="1" x14ac:dyDescent="0.4">
      <c r="B22" s="266"/>
      <c r="C22" s="283"/>
      <c r="D22" s="100">
        <v>6116008</v>
      </c>
      <c r="E22" s="274" t="s">
        <v>109</v>
      </c>
      <c r="F22" s="275"/>
      <c r="G22" s="101">
        <f>SUM(H22:I22)</f>
        <v>677200</v>
      </c>
      <c r="H22" s="111">
        <f t="shared" si="3"/>
        <v>123677</v>
      </c>
      <c r="I22" s="112">
        <f t="shared" si="4"/>
        <v>553523</v>
      </c>
      <c r="J22" s="104">
        <v>0</v>
      </c>
      <c r="K22" s="105">
        <v>22074</v>
      </c>
      <c r="L22" s="106">
        <v>87320</v>
      </c>
      <c r="M22" s="107">
        <v>8400</v>
      </c>
      <c r="N22" s="113">
        <v>4804</v>
      </c>
      <c r="O22" s="108">
        <v>1079</v>
      </c>
      <c r="P22" s="104">
        <v>0</v>
      </c>
      <c r="Q22" s="105">
        <v>11822</v>
      </c>
      <c r="R22" s="108">
        <v>0</v>
      </c>
      <c r="S22" s="104">
        <v>63807</v>
      </c>
      <c r="T22" s="109">
        <v>59894</v>
      </c>
      <c r="U22" s="296">
        <v>418000</v>
      </c>
    </row>
    <row r="23" spans="2:23" ht="20.100000000000001" customHeight="1" x14ac:dyDescent="0.4">
      <c r="B23" s="266"/>
      <c r="C23" s="283"/>
      <c r="D23" s="100">
        <v>6116017</v>
      </c>
      <c r="E23" s="274" t="s">
        <v>110</v>
      </c>
      <c r="F23" s="275"/>
      <c r="G23" s="101">
        <f t="shared" si="2"/>
        <v>1024800</v>
      </c>
      <c r="H23" s="111">
        <f t="shared" si="3"/>
        <v>337900</v>
      </c>
      <c r="I23" s="112">
        <f t="shared" si="4"/>
        <v>686900</v>
      </c>
      <c r="J23" s="104">
        <v>0</v>
      </c>
      <c r="K23" s="105">
        <v>0</v>
      </c>
      <c r="L23" s="106">
        <v>135400</v>
      </c>
      <c r="M23" s="107">
        <v>144500</v>
      </c>
      <c r="N23" s="105">
        <v>53400</v>
      </c>
      <c r="O23" s="108">
        <v>4600</v>
      </c>
      <c r="P23" s="104">
        <v>4600</v>
      </c>
      <c r="Q23" s="105">
        <v>54800</v>
      </c>
      <c r="R23" s="105">
        <v>54800</v>
      </c>
      <c r="S23" s="104">
        <v>5700</v>
      </c>
      <c r="T23" s="109">
        <v>0</v>
      </c>
      <c r="U23" s="296">
        <v>567000</v>
      </c>
      <c r="W23" s="221"/>
    </row>
    <row r="24" spans="2:23" ht="20.100000000000001" customHeight="1" x14ac:dyDescent="0.4">
      <c r="B24" s="266"/>
      <c r="C24" s="283"/>
      <c r="D24" s="100">
        <v>6116023</v>
      </c>
      <c r="E24" s="276" t="s">
        <v>111</v>
      </c>
      <c r="F24" s="277"/>
      <c r="G24" s="114">
        <f t="shared" si="2"/>
        <v>1100000</v>
      </c>
      <c r="H24" s="115">
        <f t="shared" si="3"/>
        <v>970000</v>
      </c>
      <c r="I24" s="116">
        <f t="shared" si="4"/>
        <v>130000</v>
      </c>
      <c r="J24" s="104">
        <v>0</v>
      </c>
      <c r="K24" s="105">
        <v>0</v>
      </c>
      <c r="L24" s="106">
        <v>470000</v>
      </c>
      <c r="M24" s="107">
        <v>450000</v>
      </c>
      <c r="N24" s="105">
        <v>50000</v>
      </c>
      <c r="O24" s="108"/>
      <c r="P24" s="104">
        <v>0</v>
      </c>
      <c r="Q24" s="105">
        <v>80000</v>
      </c>
      <c r="R24" s="108">
        <v>50000</v>
      </c>
      <c r="S24" s="104">
        <v>0</v>
      </c>
      <c r="T24" s="109">
        <v>0</v>
      </c>
      <c r="U24" s="110">
        <v>0</v>
      </c>
      <c r="W24" s="221"/>
    </row>
    <row r="25" spans="2:23" ht="20.100000000000001" customHeight="1" x14ac:dyDescent="0.4">
      <c r="B25" s="266"/>
      <c r="C25" s="283"/>
      <c r="D25" s="278" t="s">
        <v>112</v>
      </c>
      <c r="E25" s="279"/>
      <c r="F25" s="280"/>
      <c r="G25" s="117">
        <f>SUM(G17:G24)</f>
        <v>4985000</v>
      </c>
      <c r="H25" s="118">
        <f t="shared" ref="H25:U25" si="5">SUM(H17:H24)</f>
        <v>2999457</v>
      </c>
      <c r="I25" s="119">
        <f t="shared" si="5"/>
        <v>1985543</v>
      </c>
      <c r="J25" s="120">
        <f t="shared" si="5"/>
        <v>0</v>
      </c>
      <c r="K25" s="121">
        <f t="shared" si="5"/>
        <v>382344</v>
      </c>
      <c r="L25" s="122">
        <f t="shared" si="5"/>
        <v>1122360</v>
      </c>
      <c r="M25" s="123">
        <f t="shared" si="5"/>
        <v>1032100</v>
      </c>
      <c r="N25" s="121">
        <f t="shared" si="5"/>
        <v>449974</v>
      </c>
      <c r="O25" s="124">
        <f t="shared" si="5"/>
        <v>12679</v>
      </c>
      <c r="P25" s="120">
        <f t="shared" si="5"/>
        <v>8830</v>
      </c>
      <c r="Q25" s="121">
        <f t="shared" si="5"/>
        <v>480282</v>
      </c>
      <c r="R25" s="124">
        <f t="shared" si="5"/>
        <v>362610</v>
      </c>
      <c r="S25" s="120">
        <f t="shared" si="5"/>
        <v>75697</v>
      </c>
      <c r="T25" s="121">
        <f t="shared" si="5"/>
        <v>65894</v>
      </c>
      <c r="U25" s="122">
        <f t="shared" si="5"/>
        <v>992230</v>
      </c>
    </row>
    <row r="26" spans="2:23" ht="20.399999999999999" customHeight="1" x14ac:dyDescent="0.4">
      <c r="B26" s="271" t="s">
        <v>113</v>
      </c>
      <c r="C26" s="272"/>
      <c r="D26" s="272"/>
      <c r="E26" s="272"/>
      <c r="F26" s="273"/>
      <c r="G26" s="125">
        <f t="shared" ref="G26:U26" si="6">G25</f>
        <v>4985000</v>
      </c>
      <c r="H26" s="126">
        <f t="shared" si="6"/>
        <v>2999457</v>
      </c>
      <c r="I26" s="127">
        <f t="shared" si="6"/>
        <v>1985543</v>
      </c>
      <c r="J26" s="126">
        <f t="shared" si="6"/>
        <v>0</v>
      </c>
      <c r="K26" s="128">
        <f t="shared" si="6"/>
        <v>382344</v>
      </c>
      <c r="L26" s="127">
        <f t="shared" si="6"/>
        <v>1122360</v>
      </c>
      <c r="M26" s="126">
        <f t="shared" si="6"/>
        <v>1032100</v>
      </c>
      <c r="N26" s="128">
        <f t="shared" si="6"/>
        <v>449974</v>
      </c>
      <c r="O26" s="127">
        <f t="shared" si="6"/>
        <v>12679</v>
      </c>
      <c r="P26" s="129">
        <f t="shared" si="6"/>
        <v>8830</v>
      </c>
      <c r="Q26" s="128">
        <f t="shared" si="6"/>
        <v>480282</v>
      </c>
      <c r="R26" s="130">
        <f t="shared" si="6"/>
        <v>362610</v>
      </c>
      <c r="S26" s="126">
        <f t="shared" si="6"/>
        <v>75697</v>
      </c>
      <c r="T26" s="128">
        <f t="shared" si="6"/>
        <v>65894</v>
      </c>
      <c r="U26" s="127">
        <f t="shared" si="6"/>
        <v>992230</v>
      </c>
    </row>
    <row r="27" spans="2:23" ht="20.100000000000001" customHeight="1" x14ac:dyDescent="0.4"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</row>
    <row r="28" spans="2:23" ht="20.100000000000001" customHeight="1" x14ac:dyDescent="0.4"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</row>
    <row r="29" spans="2:23" ht="20.100000000000001" customHeight="1" x14ac:dyDescent="0.4"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</row>
  </sheetData>
  <mergeCells count="17">
    <mergeCell ref="B26:F26"/>
    <mergeCell ref="E20:F20"/>
    <mergeCell ref="E21:F21"/>
    <mergeCell ref="E22:F22"/>
    <mergeCell ref="E23:F23"/>
    <mergeCell ref="E24:F24"/>
    <mergeCell ref="D25:F25"/>
    <mergeCell ref="B11:C11"/>
    <mergeCell ref="S11:U11"/>
    <mergeCell ref="S12:U12"/>
    <mergeCell ref="B16:C16"/>
    <mergeCell ref="E16:F16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9674-B53E-4779-8AF9-B5E2A40849F3}">
  <dimension ref="B1:W29"/>
  <sheetViews>
    <sheetView topLeftCell="A4" zoomScale="81" zoomScaleNormal="81" workbookViewId="0">
      <selection activeCell="T22" sqref="T22"/>
    </sheetView>
  </sheetViews>
  <sheetFormatPr defaultColWidth="10.59765625" defaultRowHeight="20.100000000000001" customHeight="1" x14ac:dyDescent="0.4"/>
  <cols>
    <col min="1" max="1" width="1.59765625" style="38" customWidth="1"/>
    <col min="2" max="2" width="9.09765625" style="38" customWidth="1"/>
    <col min="3" max="3" width="5.59765625" style="38" customWidth="1"/>
    <col min="4" max="9" width="10.59765625" style="38" bestFit="1" customWidth="1"/>
    <col min="10" max="10" width="10.69921875" style="38" bestFit="1" customWidth="1"/>
    <col min="11" max="12" width="10.59765625" style="38" bestFit="1" customWidth="1"/>
    <col min="13" max="13" width="10.69921875" style="38" bestFit="1" customWidth="1"/>
    <col min="14" max="17" width="9.09765625" style="38" customWidth="1"/>
    <col min="18" max="16384" width="10.59765625" style="38"/>
  </cols>
  <sheetData>
    <row r="1" spans="2:22" ht="10.199999999999999" customHeight="1" x14ac:dyDescent="0.4"/>
    <row r="2" spans="2:22" ht="30.15" customHeight="1" x14ac:dyDescent="0.3">
      <c r="B2" s="39" t="s">
        <v>114</v>
      </c>
      <c r="U2" s="40" t="s">
        <v>148</v>
      </c>
      <c r="V2" s="41"/>
    </row>
    <row r="3" spans="2:22" s="44" customFormat="1" ht="1.2" customHeight="1" thickBot="1" x14ac:dyDescent="0.4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  <c r="R3" s="43"/>
      <c r="S3" s="43"/>
      <c r="T3" s="43"/>
      <c r="U3" s="42"/>
    </row>
    <row r="4" spans="2:22" s="44" customFormat="1" ht="2.1" customHeight="1" thickTop="1" x14ac:dyDescent="0.4">
      <c r="U4" s="45"/>
    </row>
    <row r="5" spans="2:22" s="44" customFormat="1" ht="2.1" customHeight="1" x14ac:dyDescent="0.4">
      <c r="U5" s="45"/>
    </row>
    <row r="6" spans="2:22" s="48" customFormat="1" ht="20.100000000000001" customHeight="1" x14ac:dyDescent="0.4"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7" t="s">
        <v>86</v>
      </c>
    </row>
    <row r="7" spans="2:22" s="48" customFormat="1" ht="20.100000000000001" customHeight="1" x14ac:dyDescent="0.4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 spans="2:22" s="48" customFormat="1" ht="20.100000000000001" customHeight="1" x14ac:dyDescent="0.4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</row>
    <row r="9" spans="2:22" ht="5.0999999999999996" customHeight="1" x14ac:dyDescent="0.4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51"/>
      <c r="R9" s="51"/>
      <c r="S9" s="51"/>
      <c r="T9" s="51"/>
    </row>
    <row r="10" spans="2:22" ht="24.9" customHeight="1" x14ac:dyDescent="0.35">
      <c r="B10" s="52" t="s">
        <v>87</v>
      </c>
      <c r="C10" s="52"/>
      <c r="D10" s="52"/>
      <c r="E10" s="52"/>
      <c r="F10" s="52"/>
      <c r="G10" s="52"/>
      <c r="H10" s="52"/>
      <c r="I10" s="52"/>
      <c r="J10" s="52"/>
      <c r="K10" s="52"/>
      <c r="M10" s="52"/>
      <c r="N10" s="52"/>
      <c r="O10" s="52"/>
      <c r="P10" s="52"/>
      <c r="Q10" s="52"/>
      <c r="R10" s="53"/>
      <c r="S10" s="53"/>
      <c r="T10" s="53"/>
      <c r="U10" s="54" t="s">
        <v>88</v>
      </c>
    </row>
    <row r="11" spans="2:22" ht="20.100000000000001" customHeight="1" thickBot="1" x14ac:dyDescent="0.45">
      <c r="B11" s="286" t="s">
        <v>89</v>
      </c>
      <c r="C11" s="287"/>
      <c r="D11" s="55" t="s">
        <v>90</v>
      </c>
      <c r="E11" s="56" t="s">
        <v>91</v>
      </c>
      <c r="F11" s="57" t="s">
        <v>92</v>
      </c>
      <c r="G11" s="56" t="s">
        <v>93</v>
      </c>
      <c r="H11" s="218" t="s">
        <v>94</v>
      </c>
      <c r="I11" s="218" t="s">
        <v>95</v>
      </c>
      <c r="J11" s="218" t="s">
        <v>6</v>
      </c>
      <c r="K11" s="218" t="s">
        <v>7</v>
      </c>
      <c r="L11" s="57" t="s">
        <v>8</v>
      </c>
      <c r="M11" s="56" t="s">
        <v>9</v>
      </c>
      <c r="N11" s="218" t="s">
        <v>10</v>
      </c>
      <c r="O11" s="218" t="s">
        <v>11</v>
      </c>
      <c r="P11" s="218" t="s">
        <v>12</v>
      </c>
      <c r="Q11" s="218" t="s">
        <v>13</v>
      </c>
      <c r="R11" s="57" t="s">
        <v>14</v>
      </c>
      <c r="S11" s="288" t="s">
        <v>96</v>
      </c>
      <c r="T11" s="288"/>
      <c r="U11" s="289"/>
    </row>
    <row r="12" spans="2:22" ht="20.100000000000001" customHeight="1" thickTop="1" x14ac:dyDescent="0.4">
      <c r="B12" s="59" t="s">
        <v>97</v>
      </c>
      <c r="C12" s="60" t="s">
        <v>98</v>
      </c>
      <c r="D12" s="61">
        <f>SUM(E12:F12)</f>
        <v>4000000</v>
      </c>
      <c r="E12" s="62">
        <f>SUM(G12:L12)</f>
        <v>2999457</v>
      </c>
      <c r="F12" s="63">
        <f>SUM(M12:R12)</f>
        <v>1000543</v>
      </c>
      <c r="G12" s="64">
        <f t="shared" ref="G12:R12" si="0">SUM(G13:G13)</f>
        <v>0</v>
      </c>
      <c r="H12" s="65">
        <f t="shared" si="0"/>
        <v>382344</v>
      </c>
      <c r="I12" s="65">
        <f t="shared" si="0"/>
        <v>1122360</v>
      </c>
      <c r="J12" s="65">
        <f t="shared" si="0"/>
        <v>1032100</v>
      </c>
      <c r="K12" s="65">
        <f t="shared" si="0"/>
        <v>449974</v>
      </c>
      <c r="L12" s="66">
        <f t="shared" si="0"/>
        <v>12679</v>
      </c>
      <c r="M12" s="64">
        <f t="shared" si="0"/>
        <v>8830</v>
      </c>
      <c r="N12" s="65">
        <f t="shared" si="0"/>
        <v>480282</v>
      </c>
      <c r="O12" s="65">
        <f t="shared" si="0"/>
        <v>362610</v>
      </c>
      <c r="P12" s="65">
        <f t="shared" si="0"/>
        <v>75697</v>
      </c>
      <c r="Q12" s="65">
        <f t="shared" si="0"/>
        <v>65894</v>
      </c>
      <c r="R12" s="66">
        <f t="shared" si="0"/>
        <v>7230</v>
      </c>
      <c r="S12" s="290"/>
      <c r="T12" s="290"/>
      <c r="U12" s="291"/>
    </row>
    <row r="13" spans="2:22" ht="20.100000000000001" customHeight="1" x14ac:dyDescent="0.4">
      <c r="B13" s="67" t="s">
        <v>99</v>
      </c>
      <c r="C13" s="68" t="s">
        <v>100</v>
      </c>
      <c r="D13" s="69">
        <f>SUM(E13:F13)</f>
        <v>4000000</v>
      </c>
      <c r="E13" s="70">
        <f>SUM(G13:L13)</f>
        <v>2999457</v>
      </c>
      <c r="F13" s="71">
        <f>SUM(M13:R13)</f>
        <v>1000543</v>
      </c>
      <c r="G13" s="72">
        <f>J26</f>
        <v>0</v>
      </c>
      <c r="H13" s="73">
        <f t="shared" ref="H13:R13" si="1">K26</f>
        <v>382344</v>
      </c>
      <c r="I13" s="73">
        <f t="shared" si="1"/>
        <v>1122360</v>
      </c>
      <c r="J13" s="73">
        <f t="shared" si="1"/>
        <v>1032100</v>
      </c>
      <c r="K13" s="73">
        <f t="shared" si="1"/>
        <v>449974</v>
      </c>
      <c r="L13" s="74">
        <f t="shared" si="1"/>
        <v>12679</v>
      </c>
      <c r="M13" s="75">
        <f t="shared" si="1"/>
        <v>8830</v>
      </c>
      <c r="N13" s="76">
        <f t="shared" si="1"/>
        <v>480282</v>
      </c>
      <c r="O13" s="76">
        <f t="shared" si="1"/>
        <v>362610</v>
      </c>
      <c r="P13" s="76">
        <f t="shared" si="1"/>
        <v>75697</v>
      </c>
      <c r="Q13" s="76">
        <f t="shared" si="1"/>
        <v>65894</v>
      </c>
      <c r="R13" s="77">
        <f t="shared" si="1"/>
        <v>7230</v>
      </c>
      <c r="S13" s="78"/>
      <c r="T13" s="78"/>
      <c r="U13" s="79"/>
    </row>
    <row r="14" spans="2:22" ht="10.199999999999999" customHeight="1" x14ac:dyDescent="0.4">
      <c r="B14" s="80"/>
      <c r="C14" s="81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1"/>
      <c r="T14" s="81"/>
      <c r="U14" s="81"/>
    </row>
    <row r="15" spans="2:22" ht="24.9" customHeight="1" x14ac:dyDescent="0.4">
      <c r="B15" s="83" t="s">
        <v>101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U15" s="54" t="s">
        <v>88</v>
      </c>
    </row>
    <row r="16" spans="2:22" ht="20.100000000000001" customHeight="1" thickBot="1" x14ac:dyDescent="0.45">
      <c r="B16" s="292" t="s">
        <v>89</v>
      </c>
      <c r="C16" s="293"/>
      <c r="D16" s="218" t="s">
        <v>102</v>
      </c>
      <c r="E16" s="294" t="s">
        <v>103</v>
      </c>
      <c r="F16" s="295"/>
      <c r="G16" s="85" t="s">
        <v>90</v>
      </c>
      <c r="H16" s="56" t="s">
        <v>91</v>
      </c>
      <c r="I16" s="57" t="s">
        <v>92</v>
      </c>
      <c r="J16" s="56" t="s">
        <v>93</v>
      </c>
      <c r="K16" s="218" t="s">
        <v>94</v>
      </c>
      <c r="L16" s="57" t="s">
        <v>95</v>
      </c>
      <c r="M16" s="86" t="s">
        <v>6</v>
      </c>
      <c r="N16" s="218" t="s">
        <v>7</v>
      </c>
      <c r="O16" s="219" t="s">
        <v>8</v>
      </c>
      <c r="P16" s="56" t="s">
        <v>9</v>
      </c>
      <c r="Q16" s="218" t="s">
        <v>10</v>
      </c>
      <c r="R16" s="219" t="s">
        <v>11</v>
      </c>
      <c r="S16" s="56" t="s">
        <v>12</v>
      </c>
      <c r="T16" s="218" t="s">
        <v>13</v>
      </c>
      <c r="U16" s="57" t="s">
        <v>14</v>
      </c>
    </row>
    <row r="17" spans="2:23" ht="20.100000000000001" customHeight="1" thickTop="1" x14ac:dyDescent="0.4">
      <c r="B17" s="281" t="s">
        <v>99</v>
      </c>
      <c r="C17" s="282" t="s">
        <v>100</v>
      </c>
      <c r="D17" s="88">
        <v>6116001</v>
      </c>
      <c r="E17" s="284" t="s">
        <v>104</v>
      </c>
      <c r="F17" s="285"/>
      <c r="G17" s="89">
        <f t="shared" ref="G17:G24" si="2">SUM(H17:I17)</f>
        <v>1600000</v>
      </c>
      <c r="H17" s="90">
        <f t="shared" ref="H17:H24" si="3">SUM(J17:O17)</f>
        <v>1230000</v>
      </c>
      <c r="I17" s="91">
        <f t="shared" ref="I17:I24" si="4">SUM(P17:U17)</f>
        <v>370000</v>
      </c>
      <c r="J17" s="92">
        <v>0</v>
      </c>
      <c r="K17" s="93">
        <v>300000</v>
      </c>
      <c r="L17" s="94">
        <v>330000</v>
      </c>
      <c r="M17" s="95">
        <v>350000</v>
      </c>
      <c r="N17" s="93">
        <v>250000</v>
      </c>
      <c r="O17" s="96">
        <v>0</v>
      </c>
      <c r="P17" s="92">
        <v>0</v>
      </c>
      <c r="Q17" s="93">
        <v>210000</v>
      </c>
      <c r="R17" s="97">
        <v>160000</v>
      </c>
      <c r="S17" s="92"/>
      <c r="T17" s="98">
        <v>0</v>
      </c>
      <c r="U17" s="99">
        <v>0</v>
      </c>
    </row>
    <row r="18" spans="2:23" ht="20.100000000000001" customHeight="1" x14ac:dyDescent="0.4">
      <c r="B18" s="266"/>
      <c r="C18" s="283"/>
      <c r="D18" s="100">
        <v>6116003</v>
      </c>
      <c r="E18" s="274" t="s">
        <v>105</v>
      </c>
      <c r="F18" s="275"/>
      <c r="G18" s="101">
        <f t="shared" si="2"/>
        <v>0</v>
      </c>
      <c r="H18" s="102">
        <f t="shared" si="3"/>
        <v>0</v>
      </c>
      <c r="I18" s="103">
        <f t="shared" si="4"/>
        <v>0</v>
      </c>
      <c r="J18" s="104">
        <v>0</v>
      </c>
      <c r="K18" s="105">
        <v>0</v>
      </c>
      <c r="L18" s="106">
        <v>0</v>
      </c>
      <c r="M18" s="107">
        <v>0</v>
      </c>
      <c r="N18" s="105">
        <v>0</v>
      </c>
      <c r="O18" s="108">
        <v>0</v>
      </c>
      <c r="P18" s="104">
        <v>0</v>
      </c>
      <c r="Q18" s="105">
        <v>0</v>
      </c>
      <c r="R18" s="108"/>
      <c r="S18" s="104">
        <v>0</v>
      </c>
      <c r="T18" s="109">
        <v>0</v>
      </c>
      <c r="U18" s="110">
        <v>0</v>
      </c>
    </row>
    <row r="19" spans="2:23" ht="20.100000000000001" customHeight="1" x14ac:dyDescent="0.4">
      <c r="B19" s="266"/>
      <c r="C19" s="283"/>
      <c r="D19" s="100">
        <v>6116004</v>
      </c>
      <c r="E19" s="274" t="s">
        <v>106</v>
      </c>
      <c r="F19" s="275"/>
      <c r="G19" s="101">
        <f t="shared" si="2"/>
        <v>0</v>
      </c>
      <c r="H19" s="111">
        <f t="shared" si="3"/>
        <v>0</v>
      </c>
      <c r="I19" s="112">
        <f t="shared" si="4"/>
        <v>0</v>
      </c>
      <c r="J19" s="104">
        <v>0</v>
      </c>
      <c r="K19" s="105">
        <v>0</v>
      </c>
      <c r="L19" s="106">
        <v>0</v>
      </c>
      <c r="M19" s="107">
        <v>0</v>
      </c>
      <c r="N19" s="105">
        <v>0</v>
      </c>
      <c r="O19" s="108">
        <v>0</v>
      </c>
      <c r="P19" s="104">
        <v>0</v>
      </c>
      <c r="Q19" s="105">
        <v>0</v>
      </c>
      <c r="R19" s="108">
        <v>0</v>
      </c>
      <c r="S19" s="104">
        <v>0</v>
      </c>
      <c r="T19" s="109">
        <v>0</v>
      </c>
      <c r="U19" s="110">
        <v>0</v>
      </c>
    </row>
    <row r="20" spans="2:23" ht="20.100000000000001" customHeight="1" x14ac:dyDescent="0.4">
      <c r="B20" s="266"/>
      <c r="C20" s="283"/>
      <c r="D20" s="100">
        <v>6116005</v>
      </c>
      <c r="E20" s="274" t="s">
        <v>107</v>
      </c>
      <c r="F20" s="275"/>
      <c r="G20" s="101">
        <f t="shared" si="2"/>
        <v>0</v>
      </c>
      <c r="H20" s="111">
        <f t="shared" si="3"/>
        <v>0</v>
      </c>
      <c r="I20" s="112">
        <f t="shared" si="4"/>
        <v>0</v>
      </c>
      <c r="J20" s="104">
        <v>0</v>
      </c>
      <c r="K20" s="105">
        <v>0</v>
      </c>
      <c r="L20" s="106">
        <v>0</v>
      </c>
      <c r="M20" s="107">
        <v>0</v>
      </c>
      <c r="N20" s="105">
        <v>0</v>
      </c>
      <c r="O20" s="108">
        <v>0</v>
      </c>
      <c r="P20" s="104">
        <v>0</v>
      </c>
      <c r="Q20" s="105">
        <v>0</v>
      </c>
      <c r="R20" s="108">
        <v>0</v>
      </c>
      <c r="S20" s="104">
        <v>0</v>
      </c>
      <c r="T20" s="109">
        <v>0</v>
      </c>
      <c r="U20" s="110">
        <v>0</v>
      </c>
    </row>
    <row r="21" spans="2:23" ht="20.100000000000001" customHeight="1" x14ac:dyDescent="0.4">
      <c r="B21" s="266"/>
      <c r="C21" s="283"/>
      <c r="D21" s="100">
        <v>6116006</v>
      </c>
      <c r="E21" s="274" t="s">
        <v>108</v>
      </c>
      <c r="F21" s="275"/>
      <c r="G21" s="101">
        <f t="shared" si="2"/>
        <v>583000</v>
      </c>
      <c r="H21" s="111">
        <f t="shared" si="3"/>
        <v>337880</v>
      </c>
      <c r="I21" s="112">
        <f t="shared" si="4"/>
        <v>245120</v>
      </c>
      <c r="J21" s="104">
        <v>0</v>
      </c>
      <c r="K21" s="105">
        <v>60270</v>
      </c>
      <c r="L21" s="106">
        <v>99640</v>
      </c>
      <c r="M21" s="107">
        <v>79200</v>
      </c>
      <c r="N21" s="105">
        <v>91770</v>
      </c>
      <c r="O21" s="105">
        <v>7000</v>
      </c>
      <c r="P21" s="104">
        <v>4230</v>
      </c>
      <c r="Q21" s="105">
        <f>120660+3000</f>
        <v>123660</v>
      </c>
      <c r="R21" s="108">
        <v>97810</v>
      </c>
      <c r="S21" s="104">
        <v>6190</v>
      </c>
      <c r="T21" s="109">
        <v>6000</v>
      </c>
      <c r="U21" s="110">
        <v>7230</v>
      </c>
    </row>
    <row r="22" spans="2:23" ht="20.100000000000001" customHeight="1" x14ac:dyDescent="0.4">
      <c r="B22" s="266"/>
      <c r="C22" s="283"/>
      <c r="D22" s="100">
        <v>6116008</v>
      </c>
      <c r="E22" s="274" t="s">
        <v>109</v>
      </c>
      <c r="F22" s="275"/>
      <c r="G22" s="101">
        <f>SUM(H22:I22)</f>
        <v>259200</v>
      </c>
      <c r="H22" s="111">
        <f t="shared" si="3"/>
        <v>123677</v>
      </c>
      <c r="I22" s="112">
        <f t="shared" si="4"/>
        <v>135523</v>
      </c>
      <c r="J22" s="104">
        <v>0</v>
      </c>
      <c r="K22" s="105">
        <v>22074</v>
      </c>
      <c r="L22" s="106">
        <v>87320</v>
      </c>
      <c r="M22" s="107">
        <v>8400</v>
      </c>
      <c r="N22" s="113">
        <v>4804</v>
      </c>
      <c r="O22" s="108">
        <v>1079</v>
      </c>
      <c r="P22" s="104">
        <v>0</v>
      </c>
      <c r="Q22" s="105">
        <v>11822</v>
      </c>
      <c r="R22" s="108">
        <v>0</v>
      </c>
      <c r="S22" s="104">
        <v>63807</v>
      </c>
      <c r="T22" s="109">
        <v>59894</v>
      </c>
      <c r="U22" s="110">
        <v>0</v>
      </c>
    </row>
    <row r="23" spans="2:23" ht="20.100000000000001" customHeight="1" x14ac:dyDescent="0.4">
      <c r="B23" s="266"/>
      <c r="C23" s="283"/>
      <c r="D23" s="100">
        <v>6116017</v>
      </c>
      <c r="E23" s="274" t="s">
        <v>110</v>
      </c>
      <c r="F23" s="275"/>
      <c r="G23" s="101">
        <f t="shared" si="2"/>
        <v>457800</v>
      </c>
      <c r="H23" s="111">
        <f t="shared" si="3"/>
        <v>337900</v>
      </c>
      <c r="I23" s="112">
        <f t="shared" si="4"/>
        <v>119900</v>
      </c>
      <c r="J23" s="104">
        <v>0</v>
      </c>
      <c r="K23" s="105">
        <v>0</v>
      </c>
      <c r="L23" s="106">
        <v>135400</v>
      </c>
      <c r="M23" s="107">
        <v>144500</v>
      </c>
      <c r="N23" s="105">
        <v>53400</v>
      </c>
      <c r="O23" s="108">
        <v>4600</v>
      </c>
      <c r="P23" s="104">
        <v>4600</v>
      </c>
      <c r="Q23" s="105">
        <v>54800</v>
      </c>
      <c r="R23" s="105">
        <v>54800</v>
      </c>
      <c r="S23" s="104">
        <v>5700</v>
      </c>
      <c r="T23" s="109">
        <v>0</v>
      </c>
      <c r="U23" s="110">
        <v>0</v>
      </c>
      <c r="W23" s="221"/>
    </row>
    <row r="24" spans="2:23" ht="20.100000000000001" customHeight="1" x14ac:dyDescent="0.4">
      <c r="B24" s="266"/>
      <c r="C24" s="283"/>
      <c r="D24" s="100">
        <v>6116023</v>
      </c>
      <c r="E24" s="276" t="s">
        <v>111</v>
      </c>
      <c r="F24" s="277"/>
      <c r="G24" s="114">
        <f t="shared" si="2"/>
        <v>1100000</v>
      </c>
      <c r="H24" s="115">
        <f t="shared" si="3"/>
        <v>970000</v>
      </c>
      <c r="I24" s="116">
        <f t="shared" si="4"/>
        <v>130000</v>
      </c>
      <c r="J24" s="104">
        <v>0</v>
      </c>
      <c r="K24" s="105">
        <v>0</v>
      </c>
      <c r="L24" s="106">
        <v>470000</v>
      </c>
      <c r="M24" s="107">
        <v>450000</v>
      </c>
      <c r="N24" s="105">
        <v>50000</v>
      </c>
      <c r="O24" s="108"/>
      <c r="P24" s="104">
        <v>0</v>
      </c>
      <c r="Q24" s="105">
        <v>80000</v>
      </c>
      <c r="R24" s="108">
        <v>50000</v>
      </c>
      <c r="S24" s="104">
        <v>0</v>
      </c>
      <c r="T24" s="109">
        <v>0</v>
      </c>
      <c r="U24" s="110">
        <v>0</v>
      </c>
      <c r="W24" s="221"/>
    </row>
    <row r="25" spans="2:23" ht="20.100000000000001" customHeight="1" x14ac:dyDescent="0.4">
      <c r="B25" s="266"/>
      <c r="C25" s="283"/>
      <c r="D25" s="278" t="s">
        <v>112</v>
      </c>
      <c r="E25" s="279"/>
      <c r="F25" s="280"/>
      <c r="G25" s="117">
        <f>SUM(G17:G24)</f>
        <v>4000000</v>
      </c>
      <c r="H25" s="118">
        <f t="shared" ref="H25:U25" si="5">SUM(H17:H24)</f>
        <v>2999457</v>
      </c>
      <c r="I25" s="119">
        <f t="shared" si="5"/>
        <v>1000543</v>
      </c>
      <c r="J25" s="120">
        <f t="shared" si="5"/>
        <v>0</v>
      </c>
      <c r="K25" s="121">
        <f t="shared" si="5"/>
        <v>382344</v>
      </c>
      <c r="L25" s="122">
        <f t="shared" si="5"/>
        <v>1122360</v>
      </c>
      <c r="M25" s="123">
        <f t="shared" si="5"/>
        <v>1032100</v>
      </c>
      <c r="N25" s="121">
        <f t="shared" si="5"/>
        <v>449974</v>
      </c>
      <c r="O25" s="124">
        <f t="shared" si="5"/>
        <v>12679</v>
      </c>
      <c r="P25" s="120">
        <f t="shared" si="5"/>
        <v>8830</v>
      </c>
      <c r="Q25" s="121">
        <f t="shared" si="5"/>
        <v>480282</v>
      </c>
      <c r="R25" s="124">
        <f t="shared" si="5"/>
        <v>362610</v>
      </c>
      <c r="S25" s="120">
        <f t="shared" si="5"/>
        <v>75697</v>
      </c>
      <c r="T25" s="121">
        <f t="shared" si="5"/>
        <v>65894</v>
      </c>
      <c r="U25" s="122">
        <f t="shared" si="5"/>
        <v>7230</v>
      </c>
    </row>
    <row r="26" spans="2:23" ht="20.399999999999999" customHeight="1" x14ac:dyDescent="0.4">
      <c r="B26" s="271" t="s">
        <v>113</v>
      </c>
      <c r="C26" s="272"/>
      <c r="D26" s="272"/>
      <c r="E26" s="272"/>
      <c r="F26" s="273"/>
      <c r="G26" s="125">
        <f t="shared" ref="G26:U26" si="6">G25</f>
        <v>4000000</v>
      </c>
      <c r="H26" s="126">
        <f t="shared" si="6"/>
        <v>2999457</v>
      </c>
      <c r="I26" s="127">
        <f t="shared" si="6"/>
        <v>1000543</v>
      </c>
      <c r="J26" s="126">
        <f t="shared" si="6"/>
        <v>0</v>
      </c>
      <c r="K26" s="128">
        <f t="shared" si="6"/>
        <v>382344</v>
      </c>
      <c r="L26" s="127">
        <f t="shared" si="6"/>
        <v>1122360</v>
      </c>
      <c r="M26" s="126">
        <f t="shared" si="6"/>
        <v>1032100</v>
      </c>
      <c r="N26" s="128">
        <f t="shared" si="6"/>
        <v>449974</v>
      </c>
      <c r="O26" s="127">
        <f t="shared" si="6"/>
        <v>12679</v>
      </c>
      <c r="P26" s="129">
        <f t="shared" si="6"/>
        <v>8830</v>
      </c>
      <c r="Q26" s="128">
        <f t="shared" si="6"/>
        <v>480282</v>
      </c>
      <c r="R26" s="130">
        <f t="shared" si="6"/>
        <v>362610</v>
      </c>
      <c r="S26" s="126">
        <f t="shared" si="6"/>
        <v>75697</v>
      </c>
      <c r="T26" s="128">
        <f t="shared" si="6"/>
        <v>65894</v>
      </c>
      <c r="U26" s="127">
        <f t="shared" si="6"/>
        <v>7230</v>
      </c>
    </row>
    <row r="27" spans="2:23" ht="20.100000000000001" customHeight="1" x14ac:dyDescent="0.4"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</row>
    <row r="28" spans="2:23" ht="20.100000000000001" customHeight="1" x14ac:dyDescent="0.4"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</row>
    <row r="29" spans="2:23" ht="20.100000000000001" customHeight="1" x14ac:dyDescent="0.4"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A61A-B27D-478C-9E92-95550999DD55}">
  <dimension ref="B1:V29"/>
  <sheetViews>
    <sheetView topLeftCell="A4" zoomScale="81" zoomScaleNormal="81" workbookViewId="0">
      <selection activeCell="K31" sqref="K31"/>
    </sheetView>
  </sheetViews>
  <sheetFormatPr defaultColWidth="10.59765625" defaultRowHeight="20.100000000000001" customHeight="1" x14ac:dyDescent="0.4"/>
  <cols>
    <col min="1" max="1" width="1.59765625" style="38" customWidth="1"/>
    <col min="2" max="2" width="9.09765625" style="38" customWidth="1"/>
    <col min="3" max="3" width="5.59765625" style="38" customWidth="1"/>
    <col min="4" max="9" width="10.59765625" style="38" bestFit="1" customWidth="1"/>
    <col min="10" max="10" width="10.69921875" style="38" bestFit="1" customWidth="1"/>
    <col min="11" max="12" width="10.59765625" style="38" bestFit="1" customWidth="1"/>
    <col min="13" max="13" width="10.69921875" style="38" bestFit="1" customWidth="1"/>
    <col min="14" max="17" width="9.09765625" style="38" customWidth="1"/>
    <col min="18" max="16384" width="10.59765625" style="38"/>
  </cols>
  <sheetData>
    <row r="1" spans="2:22" ht="10.199999999999999" customHeight="1" x14ac:dyDescent="0.4"/>
    <row r="2" spans="2:22" ht="30.15" customHeight="1" x14ac:dyDescent="0.3">
      <c r="B2" s="39" t="s">
        <v>114</v>
      </c>
      <c r="U2" s="40" t="s">
        <v>147</v>
      </c>
      <c r="V2" s="41"/>
    </row>
    <row r="3" spans="2:22" s="44" customFormat="1" ht="1.2" customHeight="1" thickBot="1" x14ac:dyDescent="0.4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  <c r="R3" s="43"/>
      <c r="S3" s="43"/>
      <c r="T3" s="43"/>
      <c r="U3" s="42"/>
    </row>
    <row r="4" spans="2:22" s="44" customFormat="1" ht="2.1" customHeight="1" thickTop="1" x14ac:dyDescent="0.4">
      <c r="U4" s="45"/>
    </row>
    <row r="5" spans="2:22" s="44" customFormat="1" ht="2.1" customHeight="1" x14ac:dyDescent="0.4">
      <c r="U5" s="45"/>
    </row>
    <row r="6" spans="2:22" s="48" customFormat="1" ht="20.100000000000001" customHeight="1" x14ac:dyDescent="0.4"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7" t="s">
        <v>86</v>
      </c>
    </row>
    <row r="7" spans="2:22" s="48" customFormat="1" ht="20.100000000000001" customHeight="1" x14ac:dyDescent="0.4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 spans="2:22" s="48" customFormat="1" ht="20.100000000000001" customHeight="1" x14ac:dyDescent="0.4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</row>
    <row r="9" spans="2:22" ht="5.0999999999999996" customHeight="1" x14ac:dyDescent="0.4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51"/>
      <c r="R9" s="51"/>
      <c r="S9" s="51"/>
      <c r="T9" s="51"/>
    </row>
    <row r="10" spans="2:22" ht="24.9" customHeight="1" x14ac:dyDescent="0.35">
      <c r="B10" s="52" t="s">
        <v>87</v>
      </c>
      <c r="C10" s="52"/>
      <c r="D10" s="52"/>
      <c r="E10" s="52"/>
      <c r="F10" s="52"/>
      <c r="G10" s="52"/>
      <c r="H10" s="52"/>
      <c r="I10" s="52"/>
      <c r="J10" s="52"/>
      <c r="K10" s="52"/>
      <c r="M10" s="52"/>
      <c r="N10" s="52"/>
      <c r="O10" s="52"/>
      <c r="P10" s="52"/>
      <c r="Q10" s="52"/>
      <c r="R10" s="53"/>
      <c r="S10" s="53"/>
      <c r="T10" s="53"/>
      <c r="U10" s="54" t="s">
        <v>88</v>
      </c>
    </row>
    <row r="11" spans="2:22" ht="20.100000000000001" customHeight="1" thickBot="1" x14ac:dyDescent="0.45">
      <c r="B11" s="286" t="s">
        <v>89</v>
      </c>
      <c r="C11" s="287"/>
      <c r="D11" s="55" t="s">
        <v>90</v>
      </c>
      <c r="E11" s="56" t="s">
        <v>91</v>
      </c>
      <c r="F11" s="57" t="s">
        <v>92</v>
      </c>
      <c r="G11" s="56" t="s">
        <v>93</v>
      </c>
      <c r="H11" s="207" t="s">
        <v>94</v>
      </c>
      <c r="I11" s="207" t="s">
        <v>95</v>
      </c>
      <c r="J11" s="207" t="s">
        <v>6</v>
      </c>
      <c r="K11" s="207" t="s">
        <v>7</v>
      </c>
      <c r="L11" s="57" t="s">
        <v>8</v>
      </c>
      <c r="M11" s="56" t="s">
        <v>9</v>
      </c>
      <c r="N11" s="207" t="s">
        <v>10</v>
      </c>
      <c r="O11" s="207" t="s">
        <v>11</v>
      </c>
      <c r="P11" s="207" t="s">
        <v>12</v>
      </c>
      <c r="Q11" s="207" t="s">
        <v>13</v>
      </c>
      <c r="R11" s="57" t="s">
        <v>14</v>
      </c>
      <c r="S11" s="288" t="s">
        <v>96</v>
      </c>
      <c r="T11" s="288"/>
      <c r="U11" s="289"/>
    </row>
    <row r="12" spans="2:22" ht="20.100000000000001" customHeight="1" thickTop="1" x14ac:dyDescent="0.4">
      <c r="B12" s="59" t="s">
        <v>97</v>
      </c>
      <c r="C12" s="60" t="s">
        <v>98</v>
      </c>
      <c r="D12" s="61">
        <f>SUM(E12:F12)</f>
        <v>4000000</v>
      </c>
      <c r="E12" s="62">
        <f>SUM(G12:L12)</f>
        <v>2999457</v>
      </c>
      <c r="F12" s="63">
        <f>SUM(M12:R12)</f>
        <v>1000543</v>
      </c>
      <c r="G12" s="64">
        <f t="shared" ref="G12:R12" si="0">SUM(G13:G13)</f>
        <v>0</v>
      </c>
      <c r="H12" s="65">
        <f t="shared" si="0"/>
        <v>382344</v>
      </c>
      <c r="I12" s="65">
        <f t="shared" si="0"/>
        <v>1122360</v>
      </c>
      <c r="J12" s="65">
        <f t="shared" si="0"/>
        <v>1032100</v>
      </c>
      <c r="K12" s="65">
        <f t="shared" si="0"/>
        <v>449974</v>
      </c>
      <c r="L12" s="66">
        <f t="shared" si="0"/>
        <v>12679</v>
      </c>
      <c r="M12" s="64">
        <f t="shared" si="0"/>
        <v>8830</v>
      </c>
      <c r="N12" s="65">
        <f t="shared" si="0"/>
        <v>480282</v>
      </c>
      <c r="O12" s="65">
        <f t="shared" si="0"/>
        <v>362610</v>
      </c>
      <c r="P12" s="65">
        <f t="shared" si="0"/>
        <v>134991</v>
      </c>
      <c r="Q12" s="65">
        <f t="shared" si="0"/>
        <v>6600</v>
      </c>
      <c r="R12" s="66">
        <f t="shared" si="0"/>
        <v>7230</v>
      </c>
      <c r="S12" s="290"/>
      <c r="T12" s="290"/>
      <c r="U12" s="291"/>
    </row>
    <row r="13" spans="2:22" ht="20.100000000000001" customHeight="1" x14ac:dyDescent="0.4">
      <c r="B13" s="67" t="s">
        <v>99</v>
      </c>
      <c r="C13" s="68" t="s">
        <v>100</v>
      </c>
      <c r="D13" s="69">
        <f>SUM(E13:F13)</f>
        <v>4000000</v>
      </c>
      <c r="E13" s="70">
        <f>SUM(G13:L13)</f>
        <v>2999457</v>
      </c>
      <c r="F13" s="71">
        <f>SUM(M13:R13)</f>
        <v>1000543</v>
      </c>
      <c r="G13" s="72">
        <f>J26</f>
        <v>0</v>
      </c>
      <c r="H13" s="73">
        <f t="shared" ref="H13:R13" si="1">K26</f>
        <v>382344</v>
      </c>
      <c r="I13" s="73">
        <f t="shared" si="1"/>
        <v>1122360</v>
      </c>
      <c r="J13" s="73">
        <f t="shared" si="1"/>
        <v>1032100</v>
      </c>
      <c r="K13" s="73">
        <f t="shared" si="1"/>
        <v>449974</v>
      </c>
      <c r="L13" s="74">
        <f t="shared" si="1"/>
        <v>12679</v>
      </c>
      <c r="M13" s="75">
        <f t="shared" si="1"/>
        <v>8830</v>
      </c>
      <c r="N13" s="76">
        <f t="shared" si="1"/>
        <v>480282</v>
      </c>
      <c r="O13" s="76">
        <f t="shared" si="1"/>
        <v>362610</v>
      </c>
      <c r="P13" s="76">
        <f t="shared" si="1"/>
        <v>134991</v>
      </c>
      <c r="Q13" s="76">
        <f t="shared" si="1"/>
        <v>6600</v>
      </c>
      <c r="R13" s="77">
        <f t="shared" si="1"/>
        <v>7230</v>
      </c>
      <c r="S13" s="78"/>
      <c r="T13" s="78"/>
      <c r="U13" s="79"/>
    </row>
    <row r="14" spans="2:22" ht="10.199999999999999" customHeight="1" x14ac:dyDescent="0.4">
      <c r="B14" s="80"/>
      <c r="C14" s="81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1"/>
      <c r="T14" s="81"/>
      <c r="U14" s="81"/>
    </row>
    <row r="15" spans="2:22" ht="24.9" customHeight="1" x14ac:dyDescent="0.4">
      <c r="B15" s="83" t="s">
        <v>101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U15" s="54" t="s">
        <v>88</v>
      </c>
    </row>
    <row r="16" spans="2:22" ht="20.100000000000001" customHeight="1" thickBot="1" x14ac:dyDescent="0.45">
      <c r="B16" s="292" t="s">
        <v>89</v>
      </c>
      <c r="C16" s="293"/>
      <c r="D16" s="207" t="s">
        <v>102</v>
      </c>
      <c r="E16" s="294" t="s">
        <v>103</v>
      </c>
      <c r="F16" s="295"/>
      <c r="G16" s="85" t="s">
        <v>90</v>
      </c>
      <c r="H16" s="56" t="s">
        <v>91</v>
      </c>
      <c r="I16" s="57" t="s">
        <v>92</v>
      </c>
      <c r="J16" s="56" t="s">
        <v>93</v>
      </c>
      <c r="K16" s="207" t="s">
        <v>94</v>
      </c>
      <c r="L16" s="57" t="s">
        <v>95</v>
      </c>
      <c r="M16" s="86" t="s">
        <v>6</v>
      </c>
      <c r="N16" s="207" t="s">
        <v>7</v>
      </c>
      <c r="O16" s="208" t="s">
        <v>8</v>
      </c>
      <c r="P16" s="56" t="s">
        <v>9</v>
      </c>
      <c r="Q16" s="207" t="s">
        <v>10</v>
      </c>
      <c r="R16" s="208" t="s">
        <v>11</v>
      </c>
      <c r="S16" s="56" t="s">
        <v>12</v>
      </c>
      <c r="T16" s="207" t="s">
        <v>13</v>
      </c>
      <c r="U16" s="57" t="s">
        <v>14</v>
      </c>
    </row>
    <row r="17" spans="2:21" ht="20.100000000000001" customHeight="1" thickTop="1" x14ac:dyDescent="0.4">
      <c r="B17" s="281" t="s">
        <v>99</v>
      </c>
      <c r="C17" s="282" t="s">
        <v>100</v>
      </c>
      <c r="D17" s="88">
        <v>6116001</v>
      </c>
      <c r="E17" s="284" t="s">
        <v>104</v>
      </c>
      <c r="F17" s="285"/>
      <c r="G17" s="89">
        <f t="shared" ref="G17:G24" si="2">SUM(H17:I17)</f>
        <v>1600000</v>
      </c>
      <c r="H17" s="90">
        <f t="shared" ref="H17:H24" si="3">SUM(J17:O17)</f>
        <v>1230000</v>
      </c>
      <c r="I17" s="91">
        <f t="shared" ref="I17:I24" si="4">SUM(P17:U17)</f>
        <v>370000</v>
      </c>
      <c r="J17" s="92">
        <v>0</v>
      </c>
      <c r="K17" s="93">
        <v>300000</v>
      </c>
      <c r="L17" s="94">
        <v>330000</v>
      </c>
      <c r="M17" s="95">
        <v>350000</v>
      </c>
      <c r="N17" s="93">
        <v>250000</v>
      </c>
      <c r="O17" s="96">
        <v>0</v>
      </c>
      <c r="P17" s="92">
        <v>0</v>
      </c>
      <c r="Q17" s="93">
        <v>210000</v>
      </c>
      <c r="R17" s="97">
        <v>160000</v>
      </c>
      <c r="S17" s="92"/>
      <c r="T17" s="98">
        <v>0</v>
      </c>
      <c r="U17" s="99">
        <v>0</v>
      </c>
    </row>
    <row r="18" spans="2:21" ht="20.100000000000001" customHeight="1" x14ac:dyDescent="0.4">
      <c r="B18" s="266"/>
      <c r="C18" s="283"/>
      <c r="D18" s="100">
        <v>6116003</v>
      </c>
      <c r="E18" s="274" t="s">
        <v>105</v>
      </c>
      <c r="F18" s="275"/>
      <c r="G18" s="101">
        <f t="shared" si="2"/>
        <v>0</v>
      </c>
      <c r="H18" s="102">
        <f t="shared" si="3"/>
        <v>0</v>
      </c>
      <c r="I18" s="103">
        <f t="shared" si="4"/>
        <v>0</v>
      </c>
      <c r="J18" s="104">
        <v>0</v>
      </c>
      <c r="K18" s="105">
        <v>0</v>
      </c>
      <c r="L18" s="106">
        <v>0</v>
      </c>
      <c r="M18" s="107">
        <v>0</v>
      </c>
      <c r="N18" s="105">
        <v>0</v>
      </c>
      <c r="O18" s="108">
        <v>0</v>
      </c>
      <c r="P18" s="104">
        <v>0</v>
      </c>
      <c r="Q18" s="105">
        <v>0</v>
      </c>
      <c r="R18" s="108"/>
      <c r="S18" s="104">
        <v>0</v>
      </c>
      <c r="T18" s="109">
        <v>0</v>
      </c>
      <c r="U18" s="110">
        <v>0</v>
      </c>
    </row>
    <row r="19" spans="2:21" ht="20.100000000000001" customHeight="1" x14ac:dyDescent="0.4">
      <c r="B19" s="266"/>
      <c r="C19" s="283"/>
      <c r="D19" s="100">
        <v>6116004</v>
      </c>
      <c r="E19" s="274" t="s">
        <v>106</v>
      </c>
      <c r="F19" s="275"/>
      <c r="G19" s="101">
        <f t="shared" si="2"/>
        <v>0</v>
      </c>
      <c r="H19" s="111">
        <f t="shared" si="3"/>
        <v>0</v>
      </c>
      <c r="I19" s="112">
        <f t="shared" si="4"/>
        <v>0</v>
      </c>
      <c r="J19" s="104">
        <v>0</v>
      </c>
      <c r="K19" s="105">
        <v>0</v>
      </c>
      <c r="L19" s="106">
        <v>0</v>
      </c>
      <c r="M19" s="107">
        <v>0</v>
      </c>
      <c r="N19" s="105">
        <v>0</v>
      </c>
      <c r="O19" s="108">
        <v>0</v>
      </c>
      <c r="P19" s="104">
        <v>0</v>
      </c>
      <c r="Q19" s="105">
        <v>0</v>
      </c>
      <c r="R19" s="108">
        <v>0</v>
      </c>
      <c r="S19" s="104">
        <v>0</v>
      </c>
      <c r="T19" s="109">
        <v>0</v>
      </c>
      <c r="U19" s="110">
        <v>0</v>
      </c>
    </row>
    <row r="20" spans="2:21" ht="20.100000000000001" customHeight="1" x14ac:dyDescent="0.4">
      <c r="B20" s="266"/>
      <c r="C20" s="283"/>
      <c r="D20" s="100">
        <v>6116005</v>
      </c>
      <c r="E20" s="274" t="s">
        <v>107</v>
      </c>
      <c r="F20" s="275"/>
      <c r="G20" s="101">
        <f t="shared" si="2"/>
        <v>0</v>
      </c>
      <c r="H20" s="111">
        <f t="shared" si="3"/>
        <v>0</v>
      </c>
      <c r="I20" s="112">
        <f t="shared" si="4"/>
        <v>0</v>
      </c>
      <c r="J20" s="104">
        <v>0</v>
      </c>
      <c r="K20" s="105">
        <v>0</v>
      </c>
      <c r="L20" s="106">
        <v>0</v>
      </c>
      <c r="M20" s="107">
        <v>0</v>
      </c>
      <c r="N20" s="105">
        <v>0</v>
      </c>
      <c r="O20" s="108">
        <v>0</v>
      </c>
      <c r="P20" s="104">
        <v>0</v>
      </c>
      <c r="Q20" s="105">
        <v>0</v>
      </c>
      <c r="R20" s="108">
        <v>0</v>
      </c>
      <c r="S20" s="104">
        <v>0</v>
      </c>
      <c r="T20" s="109">
        <v>0</v>
      </c>
      <c r="U20" s="110">
        <v>0</v>
      </c>
    </row>
    <row r="21" spans="2:21" ht="20.100000000000001" customHeight="1" x14ac:dyDescent="0.4">
      <c r="B21" s="266"/>
      <c r="C21" s="283"/>
      <c r="D21" s="100">
        <v>6116006</v>
      </c>
      <c r="E21" s="274" t="s">
        <v>108</v>
      </c>
      <c r="F21" s="275"/>
      <c r="G21" s="101">
        <f t="shared" si="2"/>
        <v>583000</v>
      </c>
      <c r="H21" s="111">
        <f t="shared" si="3"/>
        <v>337880</v>
      </c>
      <c r="I21" s="112">
        <f t="shared" si="4"/>
        <v>245120</v>
      </c>
      <c r="J21" s="104">
        <v>0</v>
      </c>
      <c r="K21" s="105">
        <v>60270</v>
      </c>
      <c r="L21" s="106">
        <v>99640</v>
      </c>
      <c r="M21" s="107">
        <v>79200</v>
      </c>
      <c r="N21" s="105">
        <v>91770</v>
      </c>
      <c r="O21" s="105">
        <v>7000</v>
      </c>
      <c r="P21" s="104">
        <v>4230</v>
      </c>
      <c r="Q21" s="105">
        <f>120660+3000</f>
        <v>123660</v>
      </c>
      <c r="R21" s="108">
        <v>97810</v>
      </c>
      <c r="S21" s="104">
        <v>6190</v>
      </c>
      <c r="T21" s="109">
        <v>6000</v>
      </c>
      <c r="U21" s="110">
        <v>7230</v>
      </c>
    </row>
    <row r="22" spans="2:21" ht="20.100000000000001" customHeight="1" x14ac:dyDescent="0.4">
      <c r="B22" s="266"/>
      <c r="C22" s="283"/>
      <c r="D22" s="100">
        <v>6116008</v>
      </c>
      <c r="E22" s="274" t="s">
        <v>109</v>
      </c>
      <c r="F22" s="275"/>
      <c r="G22" s="101">
        <f>SUM(H22:I22)</f>
        <v>259200</v>
      </c>
      <c r="H22" s="111">
        <f t="shared" si="3"/>
        <v>123677</v>
      </c>
      <c r="I22" s="112">
        <f t="shared" si="4"/>
        <v>135523</v>
      </c>
      <c r="J22" s="104">
        <v>0</v>
      </c>
      <c r="K22" s="105">
        <v>22074</v>
      </c>
      <c r="L22" s="106">
        <v>87320</v>
      </c>
      <c r="M22" s="107">
        <v>8400</v>
      </c>
      <c r="N22" s="113">
        <v>4804</v>
      </c>
      <c r="O22" s="108">
        <v>1079</v>
      </c>
      <c r="P22" s="104">
        <v>0</v>
      </c>
      <c r="Q22" s="105">
        <v>11822</v>
      </c>
      <c r="R22" s="108">
        <v>0</v>
      </c>
      <c r="S22" s="104">
        <v>123101</v>
      </c>
      <c r="T22" s="109">
        <v>600</v>
      </c>
      <c r="U22" s="110">
        <v>0</v>
      </c>
    </row>
    <row r="23" spans="2:21" ht="20.100000000000001" customHeight="1" x14ac:dyDescent="0.4">
      <c r="B23" s="266"/>
      <c r="C23" s="283"/>
      <c r="D23" s="100">
        <v>6116017</v>
      </c>
      <c r="E23" s="274" t="s">
        <v>110</v>
      </c>
      <c r="F23" s="275"/>
      <c r="G23" s="101">
        <f t="shared" si="2"/>
        <v>457800</v>
      </c>
      <c r="H23" s="111">
        <f t="shared" si="3"/>
        <v>337900</v>
      </c>
      <c r="I23" s="112">
        <f t="shared" si="4"/>
        <v>119900</v>
      </c>
      <c r="J23" s="104">
        <v>0</v>
      </c>
      <c r="K23" s="105">
        <v>0</v>
      </c>
      <c r="L23" s="106">
        <v>135400</v>
      </c>
      <c r="M23" s="107">
        <v>144500</v>
      </c>
      <c r="N23" s="105">
        <v>53400</v>
      </c>
      <c r="O23" s="108">
        <v>4600</v>
      </c>
      <c r="P23" s="104">
        <v>4600</v>
      </c>
      <c r="Q23" s="105">
        <v>54800</v>
      </c>
      <c r="R23" s="105">
        <v>54800</v>
      </c>
      <c r="S23" s="104">
        <v>5700</v>
      </c>
      <c r="T23" s="109">
        <v>0</v>
      </c>
      <c r="U23" s="110">
        <v>0</v>
      </c>
    </row>
    <row r="24" spans="2:21" ht="20.100000000000001" customHeight="1" x14ac:dyDescent="0.4">
      <c r="B24" s="266"/>
      <c r="C24" s="283"/>
      <c r="D24" s="100">
        <v>6116023</v>
      </c>
      <c r="E24" s="276" t="s">
        <v>111</v>
      </c>
      <c r="F24" s="277"/>
      <c r="G24" s="114">
        <f t="shared" si="2"/>
        <v>1100000</v>
      </c>
      <c r="H24" s="115">
        <f t="shared" si="3"/>
        <v>970000</v>
      </c>
      <c r="I24" s="116">
        <f t="shared" si="4"/>
        <v>130000</v>
      </c>
      <c r="J24" s="104">
        <v>0</v>
      </c>
      <c r="K24" s="105">
        <v>0</v>
      </c>
      <c r="L24" s="106">
        <v>470000</v>
      </c>
      <c r="M24" s="107">
        <v>450000</v>
      </c>
      <c r="N24" s="105">
        <v>50000</v>
      </c>
      <c r="O24" s="108"/>
      <c r="P24" s="104">
        <v>0</v>
      </c>
      <c r="Q24" s="105">
        <v>80000</v>
      </c>
      <c r="R24" s="108">
        <v>50000</v>
      </c>
      <c r="S24" s="104">
        <v>0</v>
      </c>
      <c r="T24" s="109">
        <v>0</v>
      </c>
      <c r="U24" s="110">
        <v>0</v>
      </c>
    </row>
    <row r="25" spans="2:21" ht="20.100000000000001" customHeight="1" x14ac:dyDescent="0.4">
      <c r="B25" s="266"/>
      <c r="C25" s="283"/>
      <c r="D25" s="278" t="s">
        <v>112</v>
      </c>
      <c r="E25" s="279"/>
      <c r="F25" s="280"/>
      <c r="G25" s="117">
        <f>SUM(G17:G24)</f>
        <v>4000000</v>
      </c>
      <c r="H25" s="118">
        <f t="shared" ref="H25:U25" si="5">SUM(H17:H24)</f>
        <v>2999457</v>
      </c>
      <c r="I25" s="119">
        <f t="shared" si="5"/>
        <v>1000543</v>
      </c>
      <c r="J25" s="120">
        <f t="shared" si="5"/>
        <v>0</v>
      </c>
      <c r="K25" s="121">
        <f t="shared" si="5"/>
        <v>382344</v>
      </c>
      <c r="L25" s="122">
        <f t="shared" si="5"/>
        <v>1122360</v>
      </c>
      <c r="M25" s="123">
        <f t="shared" si="5"/>
        <v>1032100</v>
      </c>
      <c r="N25" s="121">
        <f t="shared" si="5"/>
        <v>449974</v>
      </c>
      <c r="O25" s="124">
        <f t="shared" si="5"/>
        <v>12679</v>
      </c>
      <c r="P25" s="120">
        <f t="shared" si="5"/>
        <v>8830</v>
      </c>
      <c r="Q25" s="121">
        <f t="shared" si="5"/>
        <v>480282</v>
      </c>
      <c r="R25" s="124">
        <f t="shared" si="5"/>
        <v>362610</v>
      </c>
      <c r="S25" s="120">
        <f t="shared" si="5"/>
        <v>134991</v>
      </c>
      <c r="T25" s="121">
        <f t="shared" si="5"/>
        <v>6600</v>
      </c>
      <c r="U25" s="122">
        <f t="shared" si="5"/>
        <v>7230</v>
      </c>
    </row>
    <row r="26" spans="2:21" ht="20.399999999999999" customHeight="1" x14ac:dyDescent="0.4">
      <c r="B26" s="271" t="s">
        <v>113</v>
      </c>
      <c r="C26" s="272"/>
      <c r="D26" s="272"/>
      <c r="E26" s="272"/>
      <c r="F26" s="273"/>
      <c r="G26" s="125">
        <f t="shared" ref="G26:U26" si="6">G25</f>
        <v>4000000</v>
      </c>
      <c r="H26" s="126">
        <f t="shared" si="6"/>
        <v>2999457</v>
      </c>
      <c r="I26" s="127">
        <f t="shared" si="6"/>
        <v>1000543</v>
      </c>
      <c r="J26" s="126">
        <f t="shared" si="6"/>
        <v>0</v>
      </c>
      <c r="K26" s="128">
        <f t="shared" si="6"/>
        <v>382344</v>
      </c>
      <c r="L26" s="127">
        <f t="shared" si="6"/>
        <v>1122360</v>
      </c>
      <c r="M26" s="126">
        <f t="shared" si="6"/>
        <v>1032100</v>
      </c>
      <c r="N26" s="128">
        <f t="shared" si="6"/>
        <v>449974</v>
      </c>
      <c r="O26" s="127">
        <f t="shared" si="6"/>
        <v>12679</v>
      </c>
      <c r="P26" s="129">
        <f t="shared" si="6"/>
        <v>8830</v>
      </c>
      <c r="Q26" s="128">
        <f t="shared" si="6"/>
        <v>480282</v>
      </c>
      <c r="R26" s="130">
        <f t="shared" si="6"/>
        <v>362610</v>
      </c>
      <c r="S26" s="126">
        <f t="shared" si="6"/>
        <v>134991</v>
      </c>
      <c r="T26" s="128">
        <f t="shared" si="6"/>
        <v>6600</v>
      </c>
      <c r="U26" s="127">
        <f t="shared" si="6"/>
        <v>7230</v>
      </c>
    </row>
    <row r="27" spans="2:21" ht="20.100000000000001" customHeight="1" x14ac:dyDescent="0.4"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</row>
    <row r="28" spans="2:21" ht="20.100000000000001" customHeight="1" x14ac:dyDescent="0.4"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</row>
    <row r="29" spans="2:21" ht="20.100000000000001" customHeight="1" x14ac:dyDescent="0.4"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AE3D-E63B-4414-A3CF-D093416246D9}">
  <dimension ref="B1:V29"/>
  <sheetViews>
    <sheetView zoomScale="81" zoomScaleNormal="81" workbookViewId="0">
      <selection activeCell="E17" sqref="E17:F17"/>
    </sheetView>
  </sheetViews>
  <sheetFormatPr defaultColWidth="10.59765625" defaultRowHeight="20.100000000000001" customHeight="1" x14ac:dyDescent="0.4"/>
  <cols>
    <col min="1" max="1" width="1.59765625" style="38" customWidth="1"/>
    <col min="2" max="2" width="9.09765625" style="38" customWidth="1"/>
    <col min="3" max="3" width="5.59765625" style="38" customWidth="1"/>
    <col min="4" max="9" width="10.59765625" style="38" bestFit="1" customWidth="1"/>
    <col min="10" max="10" width="10.69921875" style="38" bestFit="1" customWidth="1"/>
    <col min="11" max="12" width="10.59765625" style="38" bestFit="1" customWidth="1"/>
    <col min="13" max="13" width="10.69921875" style="38" bestFit="1" customWidth="1"/>
    <col min="14" max="17" width="9.09765625" style="38" customWidth="1"/>
    <col min="18" max="16384" width="10.59765625" style="38"/>
  </cols>
  <sheetData>
    <row r="1" spans="2:22" ht="10.199999999999999" customHeight="1" x14ac:dyDescent="0.4"/>
    <row r="2" spans="2:22" ht="30.15" customHeight="1" x14ac:dyDescent="0.3">
      <c r="B2" s="39" t="s">
        <v>114</v>
      </c>
      <c r="U2" s="40" t="s">
        <v>146</v>
      </c>
      <c r="V2" s="41"/>
    </row>
    <row r="3" spans="2:22" s="44" customFormat="1" ht="1.2" customHeight="1" thickBot="1" x14ac:dyDescent="0.4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  <c r="R3" s="43"/>
      <c r="S3" s="43"/>
      <c r="T3" s="43"/>
      <c r="U3" s="42"/>
    </row>
    <row r="4" spans="2:22" s="44" customFormat="1" ht="2.1" customHeight="1" thickTop="1" x14ac:dyDescent="0.4">
      <c r="U4" s="45"/>
    </row>
    <row r="5" spans="2:22" s="44" customFormat="1" ht="2.1" customHeight="1" x14ac:dyDescent="0.4">
      <c r="U5" s="45"/>
    </row>
    <row r="6" spans="2:22" s="48" customFormat="1" ht="20.100000000000001" customHeight="1" x14ac:dyDescent="0.4"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7" t="s">
        <v>86</v>
      </c>
    </row>
    <row r="7" spans="2:22" s="48" customFormat="1" ht="20.100000000000001" customHeight="1" x14ac:dyDescent="0.4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 spans="2:22" s="48" customFormat="1" ht="20.100000000000001" customHeight="1" x14ac:dyDescent="0.4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</row>
    <row r="9" spans="2:22" ht="5.0999999999999996" customHeight="1" x14ac:dyDescent="0.4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51"/>
      <c r="R9" s="51"/>
      <c r="S9" s="51"/>
      <c r="T9" s="51"/>
    </row>
    <row r="10" spans="2:22" ht="24.9" customHeight="1" x14ac:dyDescent="0.35">
      <c r="B10" s="52" t="s">
        <v>87</v>
      </c>
      <c r="C10" s="52"/>
      <c r="D10" s="52"/>
      <c r="E10" s="52"/>
      <c r="F10" s="52"/>
      <c r="G10" s="52"/>
      <c r="H10" s="52"/>
      <c r="I10" s="52"/>
      <c r="J10" s="52"/>
      <c r="K10" s="52"/>
      <c r="M10" s="52"/>
      <c r="N10" s="52"/>
      <c r="O10" s="52"/>
      <c r="P10" s="52"/>
      <c r="Q10" s="52"/>
      <c r="R10" s="53"/>
      <c r="S10" s="53"/>
      <c r="T10" s="53"/>
      <c r="U10" s="54" t="s">
        <v>88</v>
      </c>
    </row>
    <row r="11" spans="2:22" ht="20.100000000000001" customHeight="1" thickBot="1" x14ac:dyDescent="0.45">
      <c r="B11" s="286" t="s">
        <v>89</v>
      </c>
      <c r="C11" s="287"/>
      <c r="D11" s="55" t="s">
        <v>90</v>
      </c>
      <c r="E11" s="56" t="s">
        <v>91</v>
      </c>
      <c r="F11" s="57" t="s">
        <v>92</v>
      </c>
      <c r="G11" s="56" t="s">
        <v>93</v>
      </c>
      <c r="H11" s="196" t="s">
        <v>94</v>
      </c>
      <c r="I11" s="196" t="s">
        <v>95</v>
      </c>
      <c r="J11" s="196" t="s">
        <v>6</v>
      </c>
      <c r="K11" s="196" t="s">
        <v>7</v>
      </c>
      <c r="L11" s="57" t="s">
        <v>8</v>
      </c>
      <c r="M11" s="56" t="s">
        <v>9</v>
      </c>
      <c r="N11" s="196" t="s">
        <v>10</v>
      </c>
      <c r="O11" s="196" t="s">
        <v>11</v>
      </c>
      <c r="P11" s="196" t="s">
        <v>12</v>
      </c>
      <c r="Q11" s="196" t="s">
        <v>13</v>
      </c>
      <c r="R11" s="57" t="s">
        <v>14</v>
      </c>
      <c r="S11" s="288" t="s">
        <v>96</v>
      </c>
      <c r="T11" s="288"/>
      <c r="U11" s="289"/>
    </row>
    <row r="12" spans="2:22" ht="20.100000000000001" customHeight="1" thickTop="1" x14ac:dyDescent="0.4">
      <c r="B12" s="59" t="s">
        <v>97</v>
      </c>
      <c r="C12" s="60" t="s">
        <v>98</v>
      </c>
      <c r="D12" s="61">
        <f>SUM(E12:F12)</f>
        <v>4000001</v>
      </c>
      <c r="E12" s="62">
        <f>SUM(G12:L12)</f>
        <v>2999457</v>
      </c>
      <c r="F12" s="63">
        <f>SUM(M12:R12)</f>
        <v>1000544</v>
      </c>
      <c r="G12" s="64">
        <f t="shared" ref="G12:R12" si="0">SUM(G13:G13)</f>
        <v>0</v>
      </c>
      <c r="H12" s="65">
        <f t="shared" si="0"/>
        <v>382344</v>
      </c>
      <c r="I12" s="65">
        <f t="shared" si="0"/>
        <v>1122360</v>
      </c>
      <c r="J12" s="65">
        <f t="shared" si="0"/>
        <v>1032100</v>
      </c>
      <c r="K12" s="65">
        <f t="shared" si="0"/>
        <v>449974</v>
      </c>
      <c r="L12" s="66">
        <f t="shared" si="0"/>
        <v>12679</v>
      </c>
      <c r="M12" s="64">
        <f t="shared" si="0"/>
        <v>8830</v>
      </c>
      <c r="N12" s="65">
        <f t="shared" si="0"/>
        <v>382640</v>
      </c>
      <c r="O12" s="65">
        <f t="shared" si="0"/>
        <v>460998</v>
      </c>
      <c r="P12" s="65">
        <f t="shared" si="0"/>
        <v>103110</v>
      </c>
      <c r="Q12" s="65">
        <f t="shared" si="0"/>
        <v>8900</v>
      </c>
      <c r="R12" s="66">
        <f t="shared" si="0"/>
        <v>36066</v>
      </c>
      <c r="S12" s="290"/>
      <c r="T12" s="290"/>
      <c r="U12" s="291"/>
    </row>
    <row r="13" spans="2:22" ht="20.100000000000001" customHeight="1" x14ac:dyDescent="0.4">
      <c r="B13" s="67" t="s">
        <v>99</v>
      </c>
      <c r="C13" s="68" t="s">
        <v>100</v>
      </c>
      <c r="D13" s="69">
        <f>SUM(E13:F13)</f>
        <v>4000001</v>
      </c>
      <c r="E13" s="70">
        <f>SUM(G13:L13)</f>
        <v>2999457</v>
      </c>
      <c r="F13" s="71">
        <f>SUM(M13:R13)</f>
        <v>1000544</v>
      </c>
      <c r="G13" s="72">
        <f>J26</f>
        <v>0</v>
      </c>
      <c r="H13" s="73">
        <f t="shared" ref="H13:R13" si="1">K26</f>
        <v>382344</v>
      </c>
      <c r="I13" s="73">
        <f t="shared" si="1"/>
        <v>1122360</v>
      </c>
      <c r="J13" s="73">
        <f t="shared" si="1"/>
        <v>1032100</v>
      </c>
      <c r="K13" s="73">
        <f t="shared" si="1"/>
        <v>449974</v>
      </c>
      <c r="L13" s="74">
        <f t="shared" si="1"/>
        <v>12679</v>
      </c>
      <c r="M13" s="75">
        <f t="shared" si="1"/>
        <v>8830</v>
      </c>
      <c r="N13" s="76">
        <f t="shared" si="1"/>
        <v>382640</v>
      </c>
      <c r="O13" s="76">
        <f t="shared" si="1"/>
        <v>460998</v>
      </c>
      <c r="P13" s="76">
        <f t="shared" si="1"/>
        <v>103110</v>
      </c>
      <c r="Q13" s="76">
        <f t="shared" si="1"/>
        <v>8900</v>
      </c>
      <c r="R13" s="77">
        <f t="shared" si="1"/>
        <v>36066</v>
      </c>
      <c r="S13" s="78"/>
      <c r="T13" s="78"/>
      <c r="U13" s="79"/>
    </row>
    <row r="14" spans="2:22" ht="10.199999999999999" customHeight="1" x14ac:dyDescent="0.4">
      <c r="B14" s="80"/>
      <c r="C14" s="81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1"/>
      <c r="T14" s="81"/>
      <c r="U14" s="81"/>
    </row>
    <row r="15" spans="2:22" ht="24.9" customHeight="1" x14ac:dyDescent="0.4">
      <c r="B15" s="83" t="s">
        <v>101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U15" s="54" t="s">
        <v>88</v>
      </c>
    </row>
    <row r="16" spans="2:22" ht="20.100000000000001" customHeight="1" thickBot="1" x14ac:dyDescent="0.45">
      <c r="B16" s="292" t="s">
        <v>89</v>
      </c>
      <c r="C16" s="293"/>
      <c r="D16" s="196" t="s">
        <v>102</v>
      </c>
      <c r="E16" s="294" t="s">
        <v>103</v>
      </c>
      <c r="F16" s="295"/>
      <c r="G16" s="85" t="s">
        <v>90</v>
      </c>
      <c r="H16" s="56" t="s">
        <v>91</v>
      </c>
      <c r="I16" s="57" t="s">
        <v>92</v>
      </c>
      <c r="J16" s="56" t="s">
        <v>93</v>
      </c>
      <c r="K16" s="196" t="s">
        <v>94</v>
      </c>
      <c r="L16" s="57" t="s">
        <v>95</v>
      </c>
      <c r="M16" s="86" t="s">
        <v>6</v>
      </c>
      <c r="N16" s="196" t="s">
        <v>7</v>
      </c>
      <c r="O16" s="197" t="s">
        <v>8</v>
      </c>
      <c r="P16" s="56" t="s">
        <v>9</v>
      </c>
      <c r="Q16" s="196" t="s">
        <v>10</v>
      </c>
      <c r="R16" s="197" t="s">
        <v>11</v>
      </c>
      <c r="S16" s="56" t="s">
        <v>12</v>
      </c>
      <c r="T16" s="196" t="s">
        <v>13</v>
      </c>
      <c r="U16" s="57" t="s">
        <v>14</v>
      </c>
    </row>
    <row r="17" spans="2:21" ht="20.100000000000001" customHeight="1" thickTop="1" x14ac:dyDescent="0.4">
      <c r="B17" s="281" t="s">
        <v>99</v>
      </c>
      <c r="C17" s="282" t="s">
        <v>100</v>
      </c>
      <c r="D17" s="88">
        <v>6116001</v>
      </c>
      <c r="E17" s="284" t="s">
        <v>104</v>
      </c>
      <c r="F17" s="285"/>
      <c r="G17" s="89">
        <f t="shared" ref="G17:G24" si="2">SUM(H17:I17)</f>
        <v>1600000</v>
      </c>
      <c r="H17" s="90">
        <f t="shared" ref="H17:H24" si="3">SUM(J17:O17)</f>
        <v>1230000</v>
      </c>
      <c r="I17" s="91">
        <f t="shared" ref="I17:I24" si="4">SUM(P17:U17)</f>
        <v>370000</v>
      </c>
      <c r="J17" s="92">
        <v>0</v>
      </c>
      <c r="K17" s="93">
        <v>300000</v>
      </c>
      <c r="L17" s="94">
        <v>330000</v>
      </c>
      <c r="M17" s="95">
        <v>350000</v>
      </c>
      <c r="N17" s="93">
        <v>250000</v>
      </c>
      <c r="O17" s="96">
        <v>0</v>
      </c>
      <c r="P17" s="92">
        <v>0</v>
      </c>
      <c r="Q17" s="93">
        <v>150000</v>
      </c>
      <c r="R17" s="97">
        <v>220000</v>
      </c>
      <c r="S17" s="92"/>
      <c r="T17" s="98">
        <v>0</v>
      </c>
      <c r="U17" s="99">
        <v>0</v>
      </c>
    </row>
    <row r="18" spans="2:21" ht="20.100000000000001" customHeight="1" x14ac:dyDescent="0.4">
      <c r="B18" s="266"/>
      <c r="C18" s="283"/>
      <c r="D18" s="100">
        <v>6116003</v>
      </c>
      <c r="E18" s="274" t="s">
        <v>105</v>
      </c>
      <c r="F18" s="275"/>
      <c r="G18" s="101">
        <f t="shared" si="2"/>
        <v>0</v>
      </c>
      <c r="H18" s="102">
        <f t="shared" si="3"/>
        <v>0</v>
      </c>
      <c r="I18" s="103">
        <f t="shared" si="4"/>
        <v>0</v>
      </c>
      <c r="J18" s="104">
        <v>0</v>
      </c>
      <c r="K18" s="105">
        <v>0</v>
      </c>
      <c r="L18" s="106">
        <v>0</v>
      </c>
      <c r="M18" s="107">
        <v>0</v>
      </c>
      <c r="N18" s="105">
        <v>0</v>
      </c>
      <c r="O18" s="108">
        <v>0</v>
      </c>
      <c r="P18" s="104">
        <v>0</v>
      </c>
      <c r="Q18" s="105">
        <v>0</v>
      </c>
      <c r="R18" s="108"/>
      <c r="S18" s="104">
        <v>0</v>
      </c>
      <c r="T18" s="109">
        <v>0</v>
      </c>
      <c r="U18" s="110">
        <v>0</v>
      </c>
    </row>
    <row r="19" spans="2:21" ht="20.100000000000001" customHeight="1" x14ac:dyDescent="0.4">
      <c r="B19" s="266"/>
      <c r="C19" s="283"/>
      <c r="D19" s="100">
        <v>6116004</v>
      </c>
      <c r="E19" s="274" t="s">
        <v>106</v>
      </c>
      <c r="F19" s="275"/>
      <c r="G19" s="101">
        <f t="shared" si="2"/>
        <v>0</v>
      </c>
      <c r="H19" s="111">
        <f t="shared" si="3"/>
        <v>0</v>
      </c>
      <c r="I19" s="112">
        <f t="shared" si="4"/>
        <v>0</v>
      </c>
      <c r="J19" s="104">
        <v>0</v>
      </c>
      <c r="K19" s="105">
        <v>0</v>
      </c>
      <c r="L19" s="106">
        <v>0</v>
      </c>
      <c r="M19" s="107">
        <v>0</v>
      </c>
      <c r="N19" s="105">
        <v>0</v>
      </c>
      <c r="O19" s="108">
        <v>0</v>
      </c>
      <c r="P19" s="104">
        <v>0</v>
      </c>
      <c r="Q19" s="105">
        <v>0</v>
      </c>
      <c r="R19" s="108">
        <v>0</v>
      </c>
      <c r="S19" s="104">
        <v>0</v>
      </c>
      <c r="T19" s="109">
        <v>0</v>
      </c>
      <c r="U19" s="110">
        <v>0</v>
      </c>
    </row>
    <row r="20" spans="2:21" ht="20.100000000000001" customHeight="1" x14ac:dyDescent="0.4">
      <c r="B20" s="266"/>
      <c r="C20" s="283"/>
      <c r="D20" s="100">
        <v>6116005</v>
      </c>
      <c r="E20" s="274" t="s">
        <v>107</v>
      </c>
      <c r="F20" s="275"/>
      <c r="G20" s="101">
        <f t="shared" si="2"/>
        <v>0</v>
      </c>
      <c r="H20" s="111">
        <f t="shared" si="3"/>
        <v>0</v>
      </c>
      <c r="I20" s="112">
        <f t="shared" si="4"/>
        <v>0</v>
      </c>
      <c r="J20" s="104">
        <v>0</v>
      </c>
      <c r="K20" s="105">
        <v>0</v>
      </c>
      <c r="L20" s="106">
        <v>0</v>
      </c>
      <c r="M20" s="107">
        <v>0</v>
      </c>
      <c r="N20" s="105">
        <v>0</v>
      </c>
      <c r="O20" s="108">
        <v>0</v>
      </c>
      <c r="P20" s="104">
        <v>0</v>
      </c>
      <c r="Q20" s="105">
        <v>0</v>
      </c>
      <c r="R20" s="108">
        <v>0</v>
      </c>
      <c r="S20" s="104">
        <v>0</v>
      </c>
      <c r="T20" s="109">
        <v>0</v>
      </c>
      <c r="U20" s="110">
        <v>0</v>
      </c>
    </row>
    <row r="21" spans="2:21" ht="20.100000000000001" customHeight="1" x14ac:dyDescent="0.4">
      <c r="B21" s="266"/>
      <c r="C21" s="283"/>
      <c r="D21" s="100">
        <v>6116006</v>
      </c>
      <c r="E21" s="274" t="s">
        <v>108</v>
      </c>
      <c r="F21" s="275"/>
      <c r="G21" s="101">
        <f t="shared" si="2"/>
        <v>583000</v>
      </c>
      <c r="H21" s="111">
        <f t="shared" si="3"/>
        <v>337880</v>
      </c>
      <c r="I21" s="112">
        <f t="shared" si="4"/>
        <v>245120</v>
      </c>
      <c r="J21" s="104">
        <v>0</v>
      </c>
      <c r="K21" s="105">
        <v>60270</v>
      </c>
      <c r="L21" s="106">
        <v>99640</v>
      </c>
      <c r="M21" s="107">
        <v>79200</v>
      </c>
      <c r="N21" s="152">
        <v>91770</v>
      </c>
      <c r="O21" s="152">
        <v>7000</v>
      </c>
      <c r="P21" s="104">
        <v>4230</v>
      </c>
      <c r="Q21" s="105">
        <v>75230</v>
      </c>
      <c r="R21" s="108">
        <v>90100</v>
      </c>
      <c r="S21" s="104">
        <v>67230</v>
      </c>
      <c r="T21" s="109">
        <v>4100</v>
      </c>
      <c r="U21" s="110">
        <v>4230</v>
      </c>
    </row>
    <row r="22" spans="2:21" ht="20.100000000000001" customHeight="1" x14ac:dyDescent="0.4">
      <c r="B22" s="266"/>
      <c r="C22" s="283"/>
      <c r="D22" s="100">
        <v>6116008</v>
      </c>
      <c r="E22" s="274" t="s">
        <v>109</v>
      </c>
      <c r="F22" s="275"/>
      <c r="G22" s="101">
        <f>SUM(H22:I22)</f>
        <v>259201</v>
      </c>
      <c r="H22" s="111">
        <f t="shared" si="3"/>
        <v>123677</v>
      </c>
      <c r="I22" s="112">
        <f t="shared" si="4"/>
        <v>135524</v>
      </c>
      <c r="J22" s="104">
        <v>0</v>
      </c>
      <c r="K22" s="105">
        <v>22074</v>
      </c>
      <c r="L22" s="106">
        <v>87320</v>
      </c>
      <c r="M22" s="107">
        <v>8400</v>
      </c>
      <c r="N22" s="186">
        <v>4804</v>
      </c>
      <c r="O22" s="157">
        <v>1079</v>
      </c>
      <c r="P22" s="104">
        <v>0</v>
      </c>
      <c r="Q22" s="105">
        <v>52060</v>
      </c>
      <c r="R22" s="108">
        <v>15548</v>
      </c>
      <c r="S22" s="104">
        <v>31280</v>
      </c>
      <c r="T22" s="109">
        <v>4800</v>
      </c>
      <c r="U22" s="110">
        <v>31836</v>
      </c>
    </row>
    <row r="23" spans="2:21" ht="20.100000000000001" customHeight="1" x14ac:dyDescent="0.4">
      <c r="B23" s="266"/>
      <c r="C23" s="283"/>
      <c r="D23" s="100">
        <v>6116017</v>
      </c>
      <c r="E23" s="274" t="s">
        <v>110</v>
      </c>
      <c r="F23" s="275"/>
      <c r="G23" s="101">
        <f t="shared" si="2"/>
        <v>457800</v>
      </c>
      <c r="H23" s="111">
        <f t="shared" si="3"/>
        <v>337900</v>
      </c>
      <c r="I23" s="112">
        <f t="shared" si="4"/>
        <v>119900</v>
      </c>
      <c r="J23" s="104">
        <v>0</v>
      </c>
      <c r="K23" s="105">
        <v>0</v>
      </c>
      <c r="L23" s="106">
        <v>135400</v>
      </c>
      <c r="M23" s="107">
        <v>144500</v>
      </c>
      <c r="N23" s="105">
        <v>53400</v>
      </c>
      <c r="O23" s="108">
        <v>4600</v>
      </c>
      <c r="P23" s="104">
        <v>4600</v>
      </c>
      <c r="Q23" s="105">
        <v>55350</v>
      </c>
      <c r="R23" s="105">
        <v>55350</v>
      </c>
      <c r="S23" s="104">
        <v>4600</v>
      </c>
      <c r="T23" s="109">
        <v>0</v>
      </c>
      <c r="U23" s="110">
        <v>0</v>
      </c>
    </row>
    <row r="24" spans="2:21" ht="20.100000000000001" customHeight="1" x14ac:dyDescent="0.4">
      <c r="B24" s="266"/>
      <c r="C24" s="283"/>
      <c r="D24" s="100">
        <v>6116023</v>
      </c>
      <c r="E24" s="276" t="s">
        <v>111</v>
      </c>
      <c r="F24" s="277"/>
      <c r="G24" s="114">
        <f t="shared" si="2"/>
        <v>1100000</v>
      </c>
      <c r="H24" s="115">
        <f t="shared" si="3"/>
        <v>970000</v>
      </c>
      <c r="I24" s="116">
        <f t="shared" si="4"/>
        <v>130000</v>
      </c>
      <c r="J24" s="104">
        <v>0</v>
      </c>
      <c r="K24" s="105">
        <v>0</v>
      </c>
      <c r="L24" s="106">
        <v>470000</v>
      </c>
      <c r="M24" s="107">
        <v>450000</v>
      </c>
      <c r="N24" s="105">
        <v>50000</v>
      </c>
      <c r="O24" s="108"/>
      <c r="P24" s="104">
        <v>0</v>
      </c>
      <c r="Q24" s="105">
        <v>50000</v>
      </c>
      <c r="R24" s="108">
        <v>80000</v>
      </c>
      <c r="S24" s="104">
        <v>0</v>
      </c>
      <c r="T24" s="109">
        <v>0</v>
      </c>
      <c r="U24" s="110">
        <v>0</v>
      </c>
    </row>
    <row r="25" spans="2:21" ht="20.100000000000001" customHeight="1" x14ac:dyDescent="0.4">
      <c r="B25" s="266"/>
      <c r="C25" s="283"/>
      <c r="D25" s="278" t="s">
        <v>112</v>
      </c>
      <c r="E25" s="279"/>
      <c r="F25" s="280"/>
      <c r="G25" s="117">
        <f>SUM(G17:G24)</f>
        <v>4000001</v>
      </c>
      <c r="H25" s="118">
        <f t="shared" ref="H25:U25" si="5">SUM(H17:H24)</f>
        <v>2999457</v>
      </c>
      <c r="I25" s="119">
        <f t="shared" si="5"/>
        <v>1000544</v>
      </c>
      <c r="J25" s="120">
        <f t="shared" si="5"/>
        <v>0</v>
      </c>
      <c r="K25" s="121">
        <f t="shared" si="5"/>
        <v>382344</v>
      </c>
      <c r="L25" s="122">
        <f t="shared" si="5"/>
        <v>1122360</v>
      </c>
      <c r="M25" s="123">
        <f t="shared" si="5"/>
        <v>1032100</v>
      </c>
      <c r="N25" s="121">
        <f t="shared" si="5"/>
        <v>449974</v>
      </c>
      <c r="O25" s="124">
        <f t="shared" si="5"/>
        <v>12679</v>
      </c>
      <c r="P25" s="120">
        <f t="shared" si="5"/>
        <v>8830</v>
      </c>
      <c r="Q25" s="121">
        <f t="shared" si="5"/>
        <v>382640</v>
      </c>
      <c r="R25" s="124">
        <f t="shared" si="5"/>
        <v>460998</v>
      </c>
      <c r="S25" s="120">
        <f t="shared" si="5"/>
        <v>103110</v>
      </c>
      <c r="T25" s="121">
        <f t="shared" si="5"/>
        <v>8900</v>
      </c>
      <c r="U25" s="122">
        <f t="shared" si="5"/>
        <v>36066</v>
      </c>
    </row>
    <row r="26" spans="2:21" ht="20.399999999999999" customHeight="1" x14ac:dyDescent="0.4">
      <c r="B26" s="271" t="s">
        <v>113</v>
      </c>
      <c r="C26" s="272"/>
      <c r="D26" s="272"/>
      <c r="E26" s="272"/>
      <c r="F26" s="273"/>
      <c r="G26" s="125">
        <f t="shared" ref="G26:U26" si="6">G25</f>
        <v>4000001</v>
      </c>
      <c r="H26" s="126">
        <f t="shared" si="6"/>
        <v>2999457</v>
      </c>
      <c r="I26" s="127">
        <f t="shared" si="6"/>
        <v>1000544</v>
      </c>
      <c r="J26" s="126">
        <f t="shared" si="6"/>
        <v>0</v>
      </c>
      <c r="K26" s="128">
        <f t="shared" si="6"/>
        <v>382344</v>
      </c>
      <c r="L26" s="127">
        <f t="shared" si="6"/>
        <v>1122360</v>
      </c>
      <c r="M26" s="126">
        <f t="shared" si="6"/>
        <v>1032100</v>
      </c>
      <c r="N26" s="128">
        <f t="shared" si="6"/>
        <v>449974</v>
      </c>
      <c r="O26" s="127">
        <f t="shared" si="6"/>
        <v>12679</v>
      </c>
      <c r="P26" s="129">
        <f t="shared" si="6"/>
        <v>8830</v>
      </c>
      <c r="Q26" s="128">
        <f t="shared" si="6"/>
        <v>382640</v>
      </c>
      <c r="R26" s="130">
        <f t="shared" si="6"/>
        <v>460998</v>
      </c>
      <c r="S26" s="126">
        <f t="shared" si="6"/>
        <v>103110</v>
      </c>
      <c r="T26" s="128">
        <f t="shared" si="6"/>
        <v>8900</v>
      </c>
      <c r="U26" s="127">
        <f t="shared" si="6"/>
        <v>36066</v>
      </c>
    </row>
    <row r="27" spans="2:21" ht="20.100000000000001" customHeight="1" x14ac:dyDescent="0.4"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</row>
    <row r="28" spans="2:21" ht="20.100000000000001" customHeight="1" x14ac:dyDescent="0.4"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</row>
    <row r="29" spans="2:21" ht="20.100000000000001" customHeight="1" x14ac:dyDescent="0.4"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</row>
  </sheetData>
  <mergeCells count="17"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  <mergeCell ref="B11:C11"/>
    <mergeCell ref="S11:U11"/>
    <mergeCell ref="S12:U12"/>
    <mergeCell ref="B16:C16"/>
    <mergeCell ref="E16:F16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44CA-025E-4EFB-8057-26705403BED5}">
  <dimension ref="B1:V29"/>
  <sheetViews>
    <sheetView zoomScale="81" zoomScaleNormal="81" workbookViewId="0">
      <selection activeCell="O29" sqref="O29"/>
    </sheetView>
  </sheetViews>
  <sheetFormatPr defaultColWidth="10.59765625" defaultRowHeight="20.100000000000001" customHeight="1" x14ac:dyDescent="0.4"/>
  <cols>
    <col min="1" max="1" width="1.59765625" style="38" customWidth="1"/>
    <col min="2" max="2" width="9.09765625" style="38" customWidth="1"/>
    <col min="3" max="3" width="5.59765625" style="38" customWidth="1"/>
    <col min="4" max="9" width="10.59765625" style="38" bestFit="1" customWidth="1"/>
    <col min="10" max="10" width="10.69921875" style="38" bestFit="1" customWidth="1"/>
    <col min="11" max="12" width="10.59765625" style="38" bestFit="1" customWidth="1"/>
    <col min="13" max="13" width="10.69921875" style="38" bestFit="1" customWidth="1"/>
    <col min="14" max="17" width="9.09765625" style="38" customWidth="1"/>
    <col min="18" max="16384" width="10.59765625" style="38"/>
  </cols>
  <sheetData>
    <row r="1" spans="2:22" ht="10.199999999999999" customHeight="1" x14ac:dyDescent="0.4"/>
    <row r="2" spans="2:22" ht="30.15" customHeight="1" x14ac:dyDescent="0.3">
      <c r="B2" s="39" t="s">
        <v>114</v>
      </c>
      <c r="U2" s="40" t="s">
        <v>146</v>
      </c>
      <c r="V2" s="41"/>
    </row>
    <row r="3" spans="2:22" s="44" customFormat="1" ht="1.2" customHeight="1" thickBot="1" x14ac:dyDescent="0.4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  <c r="R3" s="43"/>
      <c r="S3" s="43"/>
      <c r="T3" s="43"/>
      <c r="U3" s="42"/>
    </row>
    <row r="4" spans="2:22" s="44" customFormat="1" ht="2.1" customHeight="1" thickTop="1" x14ac:dyDescent="0.4">
      <c r="U4" s="45"/>
    </row>
    <row r="5" spans="2:22" s="44" customFormat="1" ht="2.1" customHeight="1" x14ac:dyDescent="0.4">
      <c r="U5" s="45"/>
    </row>
    <row r="6" spans="2:22" s="48" customFormat="1" ht="20.100000000000001" customHeight="1" x14ac:dyDescent="0.4"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7" t="s">
        <v>86</v>
      </c>
    </row>
    <row r="7" spans="2:22" s="48" customFormat="1" ht="20.100000000000001" customHeight="1" x14ac:dyDescent="0.4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 spans="2:22" s="48" customFormat="1" ht="20.100000000000001" customHeight="1" x14ac:dyDescent="0.4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</row>
    <row r="9" spans="2:22" ht="5.0999999999999996" customHeight="1" x14ac:dyDescent="0.4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51"/>
      <c r="R9" s="51"/>
      <c r="S9" s="51"/>
      <c r="T9" s="51"/>
    </row>
    <row r="10" spans="2:22" ht="24.9" customHeight="1" x14ac:dyDescent="0.35">
      <c r="B10" s="52" t="s">
        <v>87</v>
      </c>
      <c r="C10" s="52"/>
      <c r="D10" s="52"/>
      <c r="E10" s="52"/>
      <c r="F10" s="52"/>
      <c r="G10" s="52"/>
      <c r="H10" s="52"/>
      <c r="I10" s="52"/>
      <c r="J10" s="52"/>
      <c r="K10" s="52"/>
      <c r="M10" s="52"/>
      <c r="N10" s="52"/>
      <c r="O10" s="52"/>
      <c r="P10" s="52"/>
      <c r="Q10" s="52"/>
      <c r="R10" s="53"/>
      <c r="S10" s="53"/>
      <c r="T10" s="53"/>
      <c r="U10" s="54" t="s">
        <v>88</v>
      </c>
    </row>
    <row r="11" spans="2:22" ht="20.100000000000001" customHeight="1" thickBot="1" x14ac:dyDescent="0.45">
      <c r="B11" s="286" t="s">
        <v>89</v>
      </c>
      <c r="C11" s="287"/>
      <c r="D11" s="55" t="s">
        <v>90</v>
      </c>
      <c r="E11" s="56" t="s">
        <v>91</v>
      </c>
      <c r="F11" s="57" t="s">
        <v>92</v>
      </c>
      <c r="G11" s="56" t="s">
        <v>93</v>
      </c>
      <c r="H11" s="184" t="s">
        <v>94</v>
      </c>
      <c r="I11" s="184" t="s">
        <v>95</v>
      </c>
      <c r="J11" s="184" t="s">
        <v>6</v>
      </c>
      <c r="K11" s="184" t="s">
        <v>7</v>
      </c>
      <c r="L11" s="57" t="s">
        <v>8</v>
      </c>
      <c r="M11" s="56" t="s">
        <v>9</v>
      </c>
      <c r="N11" s="184" t="s">
        <v>10</v>
      </c>
      <c r="O11" s="184" t="s">
        <v>11</v>
      </c>
      <c r="P11" s="184" t="s">
        <v>12</v>
      </c>
      <c r="Q11" s="184" t="s">
        <v>13</v>
      </c>
      <c r="R11" s="57" t="s">
        <v>14</v>
      </c>
      <c r="S11" s="288" t="s">
        <v>96</v>
      </c>
      <c r="T11" s="288"/>
      <c r="U11" s="289"/>
    </row>
    <row r="12" spans="2:22" ht="20.100000000000001" customHeight="1" thickTop="1" x14ac:dyDescent="0.4">
      <c r="B12" s="59" t="s">
        <v>97</v>
      </c>
      <c r="C12" s="60" t="s">
        <v>98</v>
      </c>
      <c r="D12" s="61">
        <f>SUM(E12:F12)</f>
        <v>4000001</v>
      </c>
      <c r="E12" s="62">
        <f>SUM(G12:L12)</f>
        <v>2999457</v>
      </c>
      <c r="F12" s="63">
        <f>SUM(M12:R12)</f>
        <v>1000544</v>
      </c>
      <c r="G12" s="64">
        <f t="shared" ref="G12:R12" si="0">SUM(G13:G13)</f>
        <v>0</v>
      </c>
      <c r="H12" s="65">
        <f t="shared" si="0"/>
        <v>382344</v>
      </c>
      <c r="I12" s="65">
        <f t="shared" si="0"/>
        <v>1122360</v>
      </c>
      <c r="J12" s="65">
        <f t="shared" si="0"/>
        <v>1032100</v>
      </c>
      <c r="K12" s="65">
        <f t="shared" si="0"/>
        <v>449974</v>
      </c>
      <c r="L12" s="66">
        <f t="shared" si="0"/>
        <v>12679</v>
      </c>
      <c r="M12" s="64">
        <f t="shared" si="0"/>
        <v>8830</v>
      </c>
      <c r="N12" s="65">
        <f t="shared" si="0"/>
        <v>382640</v>
      </c>
      <c r="O12" s="65">
        <f t="shared" si="0"/>
        <v>460998</v>
      </c>
      <c r="P12" s="65">
        <f t="shared" si="0"/>
        <v>103110</v>
      </c>
      <c r="Q12" s="65">
        <f t="shared" si="0"/>
        <v>8900</v>
      </c>
      <c r="R12" s="66">
        <f t="shared" si="0"/>
        <v>36066</v>
      </c>
      <c r="S12" s="290"/>
      <c r="T12" s="290"/>
      <c r="U12" s="291"/>
    </row>
    <row r="13" spans="2:22" ht="20.100000000000001" customHeight="1" x14ac:dyDescent="0.4">
      <c r="B13" s="67" t="s">
        <v>99</v>
      </c>
      <c r="C13" s="68" t="s">
        <v>100</v>
      </c>
      <c r="D13" s="69">
        <f>SUM(E13:F13)</f>
        <v>4000001</v>
      </c>
      <c r="E13" s="70">
        <f>SUM(G13:L13)</f>
        <v>2999457</v>
      </c>
      <c r="F13" s="71">
        <f>SUM(M13:R13)</f>
        <v>1000544</v>
      </c>
      <c r="G13" s="72">
        <f>J26</f>
        <v>0</v>
      </c>
      <c r="H13" s="73">
        <f t="shared" ref="H13:R13" si="1">K26</f>
        <v>382344</v>
      </c>
      <c r="I13" s="73">
        <f t="shared" si="1"/>
        <v>1122360</v>
      </c>
      <c r="J13" s="73">
        <f t="shared" si="1"/>
        <v>1032100</v>
      </c>
      <c r="K13" s="73">
        <f t="shared" si="1"/>
        <v>449974</v>
      </c>
      <c r="L13" s="74">
        <f t="shared" si="1"/>
        <v>12679</v>
      </c>
      <c r="M13" s="75">
        <f t="shared" si="1"/>
        <v>8830</v>
      </c>
      <c r="N13" s="76">
        <f t="shared" si="1"/>
        <v>382640</v>
      </c>
      <c r="O13" s="76">
        <f t="shared" si="1"/>
        <v>460998</v>
      </c>
      <c r="P13" s="76">
        <f t="shared" si="1"/>
        <v>103110</v>
      </c>
      <c r="Q13" s="76">
        <f t="shared" si="1"/>
        <v>8900</v>
      </c>
      <c r="R13" s="77">
        <f t="shared" si="1"/>
        <v>36066</v>
      </c>
      <c r="S13" s="78"/>
      <c r="T13" s="78"/>
      <c r="U13" s="79"/>
    </row>
    <row r="14" spans="2:22" ht="10.199999999999999" customHeight="1" x14ac:dyDescent="0.4">
      <c r="B14" s="80"/>
      <c r="C14" s="81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1"/>
      <c r="T14" s="81"/>
      <c r="U14" s="81"/>
    </row>
    <row r="15" spans="2:22" ht="24.9" customHeight="1" x14ac:dyDescent="0.4">
      <c r="B15" s="83" t="s">
        <v>101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U15" s="54" t="s">
        <v>88</v>
      </c>
    </row>
    <row r="16" spans="2:22" ht="20.100000000000001" customHeight="1" thickBot="1" x14ac:dyDescent="0.45">
      <c r="B16" s="292" t="s">
        <v>89</v>
      </c>
      <c r="C16" s="293"/>
      <c r="D16" s="184" t="s">
        <v>102</v>
      </c>
      <c r="E16" s="294" t="s">
        <v>103</v>
      </c>
      <c r="F16" s="295"/>
      <c r="G16" s="85" t="s">
        <v>90</v>
      </c>
      <c r="H16" s="56" t="s">
        <v>91</v>
      </c>
      <c r="I16" s="57" t="s">
        <v>92</v>
      </c>
      <c r="J16" s="56" t="s">
        <v>93</v>
      </c>
      <c r="K16" s="184" t="s">
        <v>94</v>
      </c>
      <c r="L16" s="57" t="s">
        <v>95</v>
      </c>
      <c r="M16" s="86" t="s">
        <v>6</v>
      </c>
      <c r="N16" s="184" t="s">
        <v>7</v>
      </c>
      <c r="O16" s="185" t="s">
        <v>8</v>
      </c>
      <c r="P16" s="56" t="s">
        <v>9</v>
      </c>
      <c r="Q16" s="184" t="s">
        <v>10</v>
      </c>
      <c r="R16" s="185" t="s">
        <v>11</v>
      </c>
      <c r="S16" s="56" t="s">
        <v>12</v>
      </c>
      <c r="T16" s="184" t="s">
        <v>13</v>
      </c>
      <c r="U16" s="57" t="s">
        <v>14</v>
      </c>
    </row>
    <row r="17" spans="2:21" ht="20.100000000000001" customHeight="1" thickTop="1" x14ac:dyDescent="0.4">
      <c r="B17" s="281" t="s">
        <v>99</v>
      </c>
      <c r="C17" s="282" t="s">
        <v>100</v>
      </c>
      <c r="D17" s="88">
        <v>6116001</v>
      </c>
      <c r="E17" s="284" t="s">
        <v>104</v>
      </c>
      <c r="F17" s="285"/>
      <c r="G17" s="89">
        <f t="shared" ref="G17:G24" si="2">SUM(H17:I17)</f>
        <v>1600000</v>
      </c>
      <c r="H17" s="90">
        <f t="shared" ref="H17:H24" si="3">SUM(J17:O17)</f>
        <v>1230000</v>
      </c>
      <c r="I17" s="91">
        <f t="shared" ref="I17:I24" si="4">SUM(P17:U17)</f>
        <v>370000</v>
      </c>
      <c r="J17" s="92">
        <v>0</v>
      </c>
      <c r="K17" s="93">
        <v>300000</v>
      </c>
      <c r="L17" s="94">
        <v>330000</v>
      </c>
      <c r="M17" s="95">
        <v>350000</v>
      </c>
      <c r="N17" s="93">
        <v>250000</v>
      </c>
      <c r="O17" s="96">
        <v>0</v>
      </c>
      <c r="P17" s="92">
        <v>0</v>
      </c>
      <c r="Q17" s="93">
        <v>150000</v>
      </c>
      <c r="R17" s="97">
        <v>220000</v>
      </c>
      <c r="S17" s="92"/>
      <c r="T17" s="98">
        <v>0</v>
      </c>
      <c r="U17" s="99">
        <v>0</v>
      </c>
    </row>
    <row r="18" spans="2:21" ht="20.100000000000001" customHeight="1" x14ac:dyDescent="0.4">
      <c r="B18" s="266"/>
      <c r="C18" s="283"/>
      <c r="D18" s="100">
        <v>6116003</v>
      </c>
      <c r="E18" s="274" t="s">
        <v>105</v>
      </c>
      <c r="F18" s="275"/>
      <c r="G18" s="101">
        <f t="shared" si="2"/>
        <v>0</v>
      </c>
      <c r="H18" s="102">
        <f t="shared" si="3"/>
        <v>0</v>
      </c>
      <c r="I18" s="103">
        <f t="shared" si="4"/>
        <v>0</v>
      </c>
      <c r="J18" s="104">
        <v>0</v>
      </c>
      <c r="K18" s="105">
        <v>0</v>
      </c>
      <c r="L18" s="106">
        <v>0</v>
      </c>
      <c r="M18" s="107">
        <v>0</v>
      </c>
      <c r="N18" s="105">
        <v>0</v>
      </c>
      <c r="O18" s="108">
        <v>0</v>
      </c>
      <c r="P18" s="104">
        <v>0</v>
      </c>
      <c r="Q18" s="105">
        <v>0</v>
      </c>
      <c r="R18" s="108"/>
      <c r="S18" s="104">
        <v>0</v>
      </c>
      <c r="T18" s="109">
        <v>0</v>
      </c>
      <c r="U18" s="110">
        <v>0</v>
      </c>
    </row>
    <row r="19" spans="2:21" ht="20.100000000000001" customHeight="1" x14ac:dyDescent="0.4">
      <c r="B19" s="266"/>
      <c r="C19" s="283"/>
      <c r="D19" s="100">
        <v>6116004</v>
      </c>
      <c r="E19" s="274" t="s">
        <v>106</v>
      </c>
      <c r="F19" s="275"/>
      <c r="G19" s="101">
        <f t="shared" si="2"/>
        <v>0</v>
      </c>
      <c r="H19" s="111">
        <f t="shared" si="3"/>
        <v>0</v>
      </c>
      <c r="I19" s="112">
        <f t="shared" si="4"/>
        <v>0</v>
      </c>
      <c r="J19" s="104">
        <v>0</v>
      </c>
      <c r="K19" s="105">
        <v>0</v>
      </c>
      <c r="L19" s="106">
        <v>0</v>
      </c>
      <c r="M19" s="107">
        <v>0</v>
      </c>
      <c r="N19" s="105">
        <v>0</v>
      </c>
      <c r="O19" s="108">
        <v>0</v>
      </c>
      <c r="P19" s="104">
        <v>0</v>
      </c>
      <c r="Q19" s="105">
        <v>0</v>
      </c>
      <c r="R19" s="108">
        <v>0</v>
      </c>
      <c r="S19" s="104">
        <v>0</v>
      </c>
      <c r="T19" s="109">
        <v>0</v>
      </c>
      <c r="U19" s="110">
        <v>0</v>
      </c>
    </row>
    <row r="20" spans="2:21" ht="20.100000000000001" customHeight="1" x14ac:dyDescent="0.4">
      <c r="B20" s="266"/>
      <c r="C20" s="283"/>
      <c r="D20" s="100">
        <v>6116005</v>
      </c>
      <c r="E20" s="274" t="s">
        <v>107</v>
      </c>
      <c r="F20" s="275"/>
      <c r="G20" s="101">
        <f t="shared" si="2"/>
        <v>0</v>
      </c>
      <c r="H20" s="111">
        <f t="shared" si="3"/>
        <v>0</v>
      </c>
      <c r="I20" s="112">
        <f t="shared" si="4"/>
        <v>0</v>
      </c>
      <c r="J20" s="104">
        <v>0</v>
      </c>
      <c r="K20" s="105">
        <v>0</v>
      </c>
      <c r="L20" s="106">
        <v>0</v>
      </c>
      <c r="M20" s="107">
        <v>0</v>
      </c>
      <c r="N20" s="105">
        <v>0</v>
      </c>
      <c r="O20" s="108">
        <v>0</v>
      </c>
      <c r="P20" s="104">
        <v>0</v>
      </c>
      <c r="Q20" s="105">
        <v>0</v>
      </c>
      <c r="R20" s="108">
        <v>0</v>
      </c>
      <c r="S20" s="104">
        <v>0</v>
      </c>
      <c r="T20" s="109">
        <v>0</v>
      </c>
      <c r="U20" s="110">
        <v>0</v>
      </c>
    </row>
    <row r="21" spans="2:21" ht="20.100000000000001" customHeight="1" x14ac:dyDescent="0.4">
      <c r="B21" s="266"/>
      <c r="C21" s="283"/>
      <c r="D21" s="100">
        <v>6116006</v>
      </c>
      <c r="E21" s="274" t="s">
        <v>108</v>
      </c>
      <c r="F21" s="275"/>
      <c r="G21" s="101">
        <f t="shared" si="2"/>
        <v>583000</v>
      </c>
      <c r="H21" s="111">
        <f t="shared" si="3"/>
        <v>337880</v>
      </c>
      <c r="I21" s="112">
        <f t="shared" si="4"/>
        <v>245120</v>
      </c>
      <c r="J21" s="104">
        <v>0</v>
      </c>
      <c r="K21" s="105">
        <v>60270</v>
      </c>
      <c r="L21" s="106">
        <v>99640</v>
      </c>
      <c r="M21" s="107">
        <v>79200</v>
      </c>
      <c r="N21" s="152">
        <v>91770</v>
      </c>
      <c r="O21" s="152">
        <v>7000</v>
      </c>
      <c r="P21" s="104">
        <v>4230</v>
      </c>
      <c r="Q21" s="105">
        <v>75230</v>
      </c>
      <c r="R21" s="108">
        <v>90100</v>
      </c>
      <c r="S21" s="104">
        <v>67230</v>
      </c>
      <c r="T21" s="109">
        <v>4100</v>
      </c>
      <c r="U21" s="110">
        <v>4230</v>
      </c>
    </row>
    <row r="22" spans="2:21" ht="20.100000000000001" customHeight="1" x14ac:dyDescent="0.4">
      <c r="B22" s="266"/>
      <c r="C22" s="283"/>
      <c r="D22" s="100">
        <v>6116008</v>
      </c>
      <c r="E22" s="274" t="s">
        <v>109</v>
      </c>
      <c r="F22" s="275"/>
      <c r="G22" s="101">
        <f>SUM(H22:I22)</f>
        <v>259201</v>
      </c>
      <c r="H22" s="111">
        <f t="shared" si="3"/>
        <v>123677</v>
      </c>
      <c r="I22" s="112">
        <f t="shared" si="4"/>
        <v>135524</v>
      </c>
      <c r="J22" s="104">
        <v>0</v>
      </c>
      <c r="K22" s="105">
        <v>22074</v>
      </c>
      <c r="L22" s="106">
        <v>87320</v>
      </c>
      <c r="M22" s="107">
        <v>8400</v>
      </c>
      <c r="N22" s="186">
        <v>4804</v>
      </c>
      <c r="O22" s="157">
        <v>1079</v>
      </c>
      <c r="P22" s="104">
        <v>0</v>
      </c>
      <c r="Q22" s="105">
        <v>52060</v>
      </c>
      <c r="R22" s="108">
        <v>15548</v>
      </c>
      <c r="S22" s="104">
        <v>31280</v>
      </c>
      <c r="T22" s="109">
        <v>4800</v>
      </c>
      <c r="U22" s="110">
        <v>31836</v>
      </c>
    </row>
    <row r="23" spans="2:21" ht="20.100000000000001" customHeight="1" x14ac:dyDescent="0.4">
      <c r="B23" s="266"/>
      <c r="C23" s="283"/>
      <c r="D23" s="100">
        <v>6116017</v>
      </c>
      <c r="E23" s="274" t="s">
        <v>110</v>
      </c>
      <c r="F23" s="275"/>
      <c r="G23" s="101">
        <f t="shared" si="2"/>
        <v>457800</v>
      </c>
      <c r="H23" s="111">
        <f t="shared" si="3"/>
        <v>337900</v>
      </c>
      <c r="I23" s="112">
        <f t="shared" si="4"/>
        <v>119900</v>
      </c>
      <c r="J23" s="104">
        <v>0</v>
      </c>
      <c r="K23" s="105">
        <v>0</v>
      </c>
      <c r="L23" s="106">
        <v>135400</v>
      </c>
      <c r="M23" s="107">
        <v>144500</v>
      </c>
      <c r="N23" s="105">
        <v>53400</v>
      </c>
      <c r="O23" s="108">
        <v>4600</v>
      </c>
      <c r="P23" s="104">
        <v>4600</v>
      </c>
      <c r="Q23" s="105">
        <v>55350</v>
      </c>
      <c r="R23" s="105">
        <v>55350</v>
      </c>
      <c r="S23" s="104">
        <v>4600</v>
      </c>
      <c r="T23" s="109">
        <v>0</v>
      </c>
      <c r="U23" s="110">
        <v>0</v>
      </c>
    </row>
    <row r="24" spans="2:21" ht="20.100000000000001" customHeight="1" x14ac:dyDescent="0.4">
      <c r="B24" s="266"/>
      <c r="C24" s="283"/>
      <c r="D24" s="100">
        <v>6116023</v>
      </c>
      <c r="E24" s="276" t="s">
        <v>111</v>
      </c>
      <c r="F24" s="277"/>
      <c r="G24" s="114">
        <f t="shared" si="2"/>
        <v>1100000</v>
      </c>
      <c r="H24" s="115">
        <f t="shared" si="3"/>
        <v>970000</v>
      </c>
      <c r="I24" s="116">
        <f t="shared" si="4"/>
        <v>130000</v>
      </c>
      <c r="J24" s="104">
        <v>0</v>
      </c>
      <c r="K24" s="105">
        <v>0</v>
      </c>
      <c r="L24" s="106">
        <v>470000</v>
      </c>
      <c r="M24" s="107">
        <v>450000</v>
      </c>
      <c r="N24" s="105">
        <v>50000</v>
      </c>
      <c r="O24" s="108"/>
      <c r="P24" s="104">
        <v>0</v>
      </c>
      <c r="Q24" s="105">
        <v>50000</v>
      </c>
      <c r="R24" s="108">
        <v>80000</v>
      </c>
      <c r="S24" s="104">
        <v>0</v>
      </c>
      <c r="T24" s="109">
        <v>0</v>
      </c>
      <c r="U24" s="110">
        <v>0</v>
      </c>
    </row>
    <row r="25" spans="2:21" ht="20.100000000000001" customHeight="1" x14ac:dyDescent="0.4">
      <c r="B25" s="266"/>
      <c r="C25" s="283"/>
      <c r="D25" s="278" t="s">
        <v>112</v>
      </c>
      <c r="E25" s="279"/>
      <c r="F25" s="280"/>
      <c r="G25" s="117">
        <f>SUM(G17:G24)</f>
        <v>4000001</v>
      </c>
      <c r="H25" s="118">
        <f t="shared" ref="H25:U25" si="5">SUM(H17:H24)</f>
        <v>2999457</v>
      </c>
      <c r="I25" s="119">
        <f t="shared" si="5"/>
        <v>1000544</v>
      </c>
      <c r="J25" s="120">
        <f t="shared" si="5"/>
        <v>0</v>
      </c>
      <c r="K25" s="121">
        <f t="shared" si="5"/>
        <v>382344</v>
      </c>
      <c r="L25" s="122">
        <f t="shared" si="5"/>
        <v>1122360</v>
      </c>
      <c r="M25" s="123">
        <f t="shared" si="5"/>
        <v>1032100</v>
      </c>
      <c r="N25" s="121">
        <f t="shared" si="5"/>
        <v>449974</v>
      </c>
      <c r="O25" s="124">
        <f t="shared" si="5"/>
        <v>12679</v>
      </c>
      <c r="P25" s="120">
        <f t="shared" si="5"/>
        <v>8830</v>
      </c>
      <c r="Q25" s="121">
        <f t="shared" si="5"/>
        <v>382640</v>
      </c>
      <c r="R25" s="124">
        <f t="shared" si="5"/>
        <v>460998</v>
      </c>
      <c r="S25" s="120">
        <f t="shared" si="5"/>
        <v>103110</v>
      </c>
      <c r="T25" s="121">
        <f t="shared" si="5"/>
        <v>8900</v>
      </c>
      <c r="U25" s="122">
        <f t="shared" si="5"/>
        <v>36066</v>
      </c>
    </row>
    <row r="26" spans="2:21" ht="20.399999999999999" customHeight="1" x14ac:dyDescent="0.4">
      <c r="B26" s="271" t="s">
        <v>113</v>
      </c>
      <c r="C26" s="272"/>
      <c r="D26" s="272"/>
      <c r="E26" s="272"/>
      <c r="F26" s="273"/>
      <c r="G26" s="125">
        <f t="shared" ref="G26:U26" si="6">G25</f>
        <v>4000001</v>
      </c>
      <c r="H26" s="126">
        <f t="shared" si="6"/>
        <v>2999457</v>
      </c>
      <c r="I26" s="127">
        <f t="shared" si="6"/>
        <v>1000544</v>
      </c>
      <c r="J26" s="126">
        <f t="shared" si="6"/>
        <v>0</v>
      </c>
      <c r="K26" s="128">
        <f t="shared" si="6"/>
        <v>382344</v>
      </c>
      <c r="L26" s="127">
        <f t="shared" si="6"/>
        <v>1122360</v>
      </c>
      <c r="M26" s="126">
        <f t="shared" si="6"/>
        <v>1032100</v>
      </c>
      <c r="N26" s="128">
        <f t="shared" si="6"/>
        <v>449974</v>
      </c>
      <c r="O26" s="127">
        <f t="shared" si="6"/>
        <v>12679</v>
      </c>
      <c r="P26" s="129">
        <f t="shared" si="6"/>
        <v>8830</v>
      </c>
      <c r="Q26" s="128">
        <f t="shared" si="6"/>
        <v>382640</v>
      </c>
      <c r="R26" s="130">
        <f t="shared" si="6"/>
        <v>460998</v>
      </c>
      <c r="S26" s="126">
        <f t="shared" si="6"/>
        <v>103110</v>
      </c>
      <c r="T26" s="128">
        <f t="shared" si="6"/>
        <v>8900</v>
      </c>
      <c r="U26" s="127">
        <f t="shared" si="6"/>
        <v>36066</v>
      </c>
    </row>
    <row r="27" spans="2:21" ht="20.100000000000001" customHeight="1" x14ac:dyDescent="0.4"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</row>
    <row r="28" spans="2:21" ht="20.100000000000001" customHeight="1" x14ac:dyDescent="0.4"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</row>
    <row r="29" spans="2:21" ht="20.100000000000001" customHeight="1" x14ac:dyDescent="0.4"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68CDF-E4AC-4ECE-BEAF-100DF6DE7B0A}">
  <dimension ref="B1:V29"/>
  <sheetViews>
    <sheetView zoomScale="81" zoomScaleNormal="81" workbookViewId="0">
      <selection activeCell="M31" sqref="M31"/>
    </sheetView>
  </sheetViews>
  <sheetFormatPr defaultColWidth="10.59765625" defaultRowHeight="20.100000000000001" customHeight="1" x14ac:dyDescent="0.4"/>
  <cols>
    <col min="1" max="1" width="1.59765625" style="38" customWidth="1"/>
    <col min="2" max="2" width="9.09765625" style="38" customWidth="1"/>
    <col min="3" max="3" width="5.59765625" style="38" customWidth="1"/>
    <col min="4" max="9" width="10.59765625" style="38" bestFit="1" customWidth="1"/>
    <col min="10" max="10" width="10.69921875" style="38" bestFit="1" customWidth="1"/>
    <col min="11" max="12" width="10.59765625" style="38" bestFit="1" customWidth="1"/>
    <col min="13" max="13" width="10.69921875" style="38" bestFit="1" customWidth="1"/>
    <col min="14" max="17" width="9.09765625" style="38" customWidth="1"/>
    <col min="18" max="16384" width="10.59765625" style="38"/>
  </cols>
  <sheetData>
    <row r="1" spans="2:22" ht="10.199999999999999" customHeight="1" x14ac:dyDescent="0.4"/>
    <row r="2" spans="2:22" ht="30.15" customHeight="1" x14ac:dyDescent="0.3">
      <c r="B2" s="39" t="s">
        <v>114</v>
      </c>
      <c r="U2" s="40" t="s">
        <v>145</v>
      </c>
      <c r="V2" s="41"/>
    </row>
    <row r="3" spans="2:22" s="44" customFormat="1" ht="1.2" customHeight="1" thickBot="1" x14ac:dyDescent="0.4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  <c r="R3" s="43"/>
      <c r="S3" s="43"/>
      <c r="T3" s="43"/>
      <c r="U3" s="42"/>
    </row>
    <row r="4" spans="2:22" s="44" customFormat="1" ht="2.1" customHeight="1" thickTop="1" x14ac:dyDescent="0.4">
      <c r="U4" s="45"/>
    </row>
    <row r="5" spans="2:22" s="44" customFormat="1" ht="2.1" customHeight="1" x14ac:dyDescent="0.4">
      <c r="U5" s="45"/>
    </row>
    <row r="6" spans="2:22" s="48" customFormat="1" ht="20.100000000000001" customHeight="1" x14ac:dyDescent="0.4"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7" t="s">
        <v>86</v>
      </c>
    </row>
    <row r="7" spans="2:22" s="48" customFormat="1" ht="20.100000000000001" customHeight="1" x14ac:dyDescent="0.4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 spans="2:22" s="48" customFormat="1" ht="20.100000000000001" customHeight="1" x14ac:dyDescent="0.4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</row>
    <row r="9" spans="2:22" ht="5.0999999999999996" customHeight="1" x14ac:dyDescent="0.4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51"/>
      <c r="R9" s="51"/>
      <c r="S9" s="51"/>
      <c r="T9" s="51"/>
    </row>
    <row r="10" spans="2:22" ht="24.9" customHeight="1" x14ac:dyDescent="0.35">
      <c r="B10" s="52" t="s">
        <v>87</v>
      </c>
      <c r="C10" s="52"/>
      <c r="D10" s="52"/>
      <c r="E10" s="52"/>
      <c r="F10" s="52"/>
      <c r="G10" s="52"/>
      <c r="H10" s="52"/>
      <c r="I10" s="52"/>
      <c r="J10" s="52"/>
      <c r="K10" s="52"/>
      <c r="M10" s="52"/>
      <c r="N10" s="52"/>
      <c r="O10" s="52"/>
      <c r="P10" s="52"/>
      <c r="Q10" s="52"/>
      <c r="R10" s="53"/>
      <c r="S10" s="53"/>
      <c r="T10" s="53"/>
      <c r="U10" s="54" t="s">
        <v>88</v>
      </c>
    </row>
    <row r="11" spans="2:22" ht="20.100000000000001" customHeight="1" thickBot="1" x14ac:dyDescent="0.45">
      <c r="B11" s="286" t="s">
        <v>89</v>
      </c>
      <c r="C11" s="287"/>
      <c r="D11" s="55" t="s">
        <v>90</v>
      </c>
      <c r="E11" s="56" t="s">
        <v>91</v>
      </c>
      <c r="F11" s="57" t="s">
        <v>92</v>
      </c>
      <c r="G11" s="56" t="s">
        <v>93</v>
      </c>
      <c r="H11" s="167" t="s">
        <v>94</v>
      </c>
      <c r="I11" s="167" t="s">
        <v>95</v>
      </c>
      <c r="J11" s="167" t="s">
        <v>6</v>
      </c>
      <c r="K11" s="167" t="s">
        <v>7</v>
      </c>
      <c r="L11" s="57" t="s">
        <v>8</v>
      </c>
      <c r="M11" s="56" t="s">
        <v>9</v>
      </c>
      <c r="N11" s="167" t="s">
        <v>10</v>
      </c>
      <c r="O11" s="167" t="s">
        <v>11</v>
      </c>
      <c r="P11" s="167" t="s">
        <v>12</v>
      </c>
      <c r="Q11" s="167" t="s">
        <v>13</v>
      </c>
      <c r="R11" s="57" t="s">
        <v>14</v>
      </c>
      <c r="S11" s="288" t="s">
        <v>96</v>
      </c>
      <c r="T11" s="288"/>
      <c r="U11" s="289"/>
    </row>
    <row r="12" spans="2:22" ht="20.100000000000001" customHeight="1" thickTop="1" x14ac:dyDescent="0.4">
      <c r="B12" s="59" t="s">
        <v>97</v>
      </c>
      <c r="C12" s="60" t="s">
        <v>98</v>
      </c>
      <c r="D12" s="61">
        <f>SUM(E12:F12)</f>
        <v>4000000</v>
      </c>
      <c r="E12" s="62">
        <f>SUM(G12:L12)</f>
        <v>2999456</v>
      </c>
      <c r="F12" s="63">
        <f>SUM(M12:R12)</f>
        <v>1000544</v>
      </c>
      <c r="G12" s="64">
        <f t="shared" ref="G12:R12" si="0">SUM(G13:G13)</f>
        <v>0</v>
      </c>
      <c r="H12" s="65">
        <f t="shared" si="0"/>
        <v>382344</v>
      </c>
      <c r="I12" s="65">
        <f t="shared" si="0"/>
        <v>1122360</v>
      </c>
      <c r="J12" s="65">
        <f t="shared" si="0"/>
        <v>1032100</v>
      </c>
      <c r="K12" s="65">
        <f t="shared" si="0"/>
        <v>453952</v>
      </c>
      <c r="L12" s="66">
        <f t="shared" si="0"/>
        <v>8700</v>
      </c>
      <c r="M12" s="64">
        <f t="shared" si="0"/>
        <v>8830</v>
      </c>
      <c r="N12" s="65">
        <f t="shared" si="0"/>
        <v>382640</v>
      </c>
      <c r="O12" s="65">
        <f t="shared" si="0"/>
        <v>460998</v>
      </c>
      <c r="P12" s="65">
        <f t="shared" si="0"/>
        <v>103110</v>
      </c>
      <c r="Q12" s="65">
        <f t="shared" si="0"/>
        <v>8900</v>
      </c>
      <c r="R12" s="66">
        <f t="shared" si="0"/>
        <v>36066</v>
      </c>
      <c r="S12" s="290"/>
      <c r="T12" s="290"/>
      <c r="U12" s="291"/>
    </row>
    <row r="13" spans="2:22" ht="20.100000000000001" customHeight="1" x14ac:dyDescent="0.4">
      <c r="B13" s="67" t="s">
        <v>99</v>
      </c>
      <c r="C13" s="68" t="s">
        <v>100</v>
      </c>
      <c r="D13" s="69">
        <f>SUM(E13:F13)</f>
        <v>4000000</v>
      </c>
      <c r="E13" s="70">
        <f>SUM(G13:L13)</f>
        <v>2999456</v>
      </c>
      <c r="F13" s="71">
        <f>SUM(M13:R13)</f>
        <v>1000544</v>
      </c>
      <c r="G13" s="72">
        <f>J26</f>
        <v>0</v>
      </c>
      <c r="H13" s="73">
        <f t="shared" ref="H13:R13" si="1">K26</f>
        <v>382344</v>
      </c>
      <c r="I13" s="73">
        <f t="shared" si="1"/>
        <v>1122360</v>
      </c>
      <c r="J13" s="73">
        <f t="shared" si="1"/>
        <v>1032100</v>
      </c>
      <c r="K13" s="73">
        <f t="shared" si="1"/>
        <v>453952</v>
      </c>
      <c r="L13" s="74">
        <f t="shared" si="1"/>
        <v>8700</v>
      </c>
      <c r="M13" s="75">
        <f t="shared" si="1"/>
        <v>8830</v>
      </c>
      <c r="N13" s="76">
        <f t="shared" si="1"/>
        <v>382640</v>
      </c>
      <c r="O13" s="76">
        <f t="shared" si="1"/>
        <v>460998</v>
      </c>
      <c r="P13" s="76">
        <f t="shared" si="1"/>
        <v>103110</v>
      </c>
      <c r="Q13" s="76">
        <f t="shared" si="1"/>
        <v>8900</v>
      </c>
      <c r="R13" s="77">
        <f t="shared" si="1"/>
        <v>36066</v>
      </c>
      <c r="S13" s="78"/>
      <c r="T13" s="78"/>
      <c r="U13" s="79"/>
    </row>
    <row r="14" spans="2:22" ht="10.199999999999999" customHeight="1" x14ac:dyDescent="0.4">
      <c r="B14" s="80"/>
      <c r="C14" s="81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1"/>
      <c r="T14" s="81"/>
      <c r="U14" s="81"/>
    </row>
    <row r="15" spans="2:22" ht="24.9" customHeight="1" x14ac:dyDescent="0.4">
      <c r="B15" s="83" t="s">
        <v>101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U15" s="54" t="s">
        <v>88</v>
      </c>
    </row>
    <row r="16" spans="2:22" ht="20.100000000000001" customHeight="1" thickBot="1" x14ac:dyDescent="0.45">
      <c r="B16" s="292" t="s">
        <v>89</v>
      </c>
      <c r="C16" s="293"/>
      <c r="D16" s="167" t="s">
        <v>102</v>
      </c>
      <c r="E16" s="294" t="s">
        <v>103</v>
      </c>
      <c r="F16" s="295"/>
      <c r="G16" s="85" t="s">
        <v>90</v>
      </c>
      <c r="H16" s="56" t="s">
        <v>91</v>
      </c>
      <c r="I16" s="57" t="s">
        <v>92</v>
      </c>
      <c r="J16" s="56" t="s">
        <v>93</v>
      </c>
      <c r="K16" s="167" t="s">
        <v>94</v>
      </c>
      <c r="L16" s="57" t="s">
        <v>95</v>
      </c>
      <c r="M16" s="86" t="s">
        <v>6</v>
      </c>
      <c r="N16" s="167" t="s">
        <v>7</v>
      </c>
      <c r="O16" s="168" t="s">
        <v>8</v>
      </c>
      <c r="P16" s="56" t="s">
        <v>9</v>
      </c>
      <c r="Q16" s="167" t="s">
        <v>10</v>
      </c>
      <c r="R16" s="168" t="s">
        <v>11</v>
      </c>
      <c r="S16" s="56" t="s">
        <v>12</v>
      </c>
      <c r="T16" s="167" t="s">
        <v>13</v>
      </c>
      <c r="U16" s="57" t="s">
        <v>14</v>
      </c>
    </row>
    <row r="17" spans="2:21" ht="20.100000000000001" customHeight="1" thickTop="1" x14ac:dyDescent="0.4">
      <c r="B17" s="281" t="s">
        <v>99</v>
      </c>
      <c r="C17" s="282" t="s">
        <v>100</v>
      </c>
      <c r="D17" s="88">
        <v>6116001</v>
      </c>
      <c r="E17" s="284" t="s">
        <v>104</v>
      </c>
      <c r="F17" s="285"/>
      <c r="G17" s="89">
        <f t="shared" ref="G17:G24" si="2">SUM(H17:I17)</f>
        <v>1600000</v>
      </c>
      <c r="H17" s="90">
        <f t="shared" ref="H17:H24" si="3">SUM(J17:O17)</f>
        <v>1230000</v>
      </c>
      <c r="I17" s="91">
        <f t="shared" ref="I17:I24" si="4">SUM(P17:U17)</f>
        <v>370000</v>
      </c>
      <c r="J17" s="92">
        <v>0</v>
      </c>
      <c r="K17" s="93">
        <v>300000</v>
      </c>
      <c r="L17" s="171">
        <v>330000</v>
      </c>
      <c r="M17" s="172">
        <v>350000</v>
      </c>
      <c r="N17" s="173">
        <v>250000</v>
      </c>
      <c r="O17" s="96">
        <v>0</v>
      </c>
      <c r="P17" s="92">
        <v>0</v>
      </c>
      <c r="Q17" s="173">
        <v>150000</v>
      </c>
      <c r="R17" s="174">
        <v>220000</v>
      </c>
      <c r="S17" s="92"/>
      <c r="T17" s="98">
        <v>0</v>
      </c>
      <c r="U17" s="99">
        <v>0</v>
      </c>
    </row>
    <row r="18" spans="2:21" ht="20.100000000000001" customHeight="1" x14ac:dyDescent="0.4">
      <c r="B18" s="266"/>
      <c r="C18" s="283"/>
      <c r="D18" s="100">
        <v>6116003</v>
      </c>
      <c r="E18" s="274" t="s">
        <v>105</v>
      </c>
      <c r="F18" s="275"/>
      <c r="G18" s="101">
        <f t="shared" si="2"/>
        <v>0</v>
      </c>
      <c r="H18" s="102">
        <f t="shared" si="3"/>
        <v>0</v>
      </c>
      <c r="I18" s="103">
        <f t="shared" si="4"/>
        <v>0</v>
      </c>
      <c r="J18" s="104">
        <v>0</v>
      </c>
      <c r="K18" s="105">
        <v>0</v>
      </c>
      <c r="L18" s="106">
        <v>0</v>
      </c>
      <c r="M18" s="107">
        <v>0</v>
      </c>
      <c r="N18" s="105">
        <v>0</v>
      </c>
      <c r="O18" s="108">
        <v>0</v>
      </c>
      <c r="P18" s="104">
        <v>0</v>
      </c>
      <c r="Q18" s="105">
        <v>0</v>
      </c>
      <c r="R18" s="108"/>
      <c r="S18" s="104">
        <v>0</v>
      </c>
      <c r="T18" s="109">
        <v>0</v>
      </c>
      <c r="U18" s="110">
        <v>0</v>
      </c>
    </row>
    <row r="19" spans="2:21" ht="20.100000000000001" customHeight="1" x14ac:dyDescent="0.4">
      <c r="B19" s="266"/>
      <c r="C19" s="283"/>
      <c r="D19" s="100">
        <v>6116004</v>
      </c>
      <c r="E19" s="274" t="s">
        <v>106</v>
      </c>
      <c r="F19" s="275"/>
      <c r="G19" s="101">
        <f t="shared" si="2"/>
        <v>0</v>
      </c>
      <c r="H19" s="111">
        <f t="shared" si="3"/>
        <v>0</v>
      </c>
      <c r="I19" s="112">
        <f t="shared" si="4"/>
        <v>0</v>
      </c>
      <c r="J19" s="104">
        <v>0</v>
      </c>
      <c r="K19" s="105">
        <v>0</v>
      </c>
      <c r="L19" s="106">
        <v>0</v>
      </c>
      <c r="M19" s="107">
        <v>0</v>
      </c>
      <c r="N19" s="105">
        <v>0</v>
      </c>
      <c r="O19" s="108">
        <v>0</v>
      </c>
      <c r="P19" s="104">
        <v>0</v>
      </c>
      <c r="Q19" s="105">
        <v>0</v>
      </c>
      <c r="R19" s="108">
        <v>0</v>
      </c>
      <c r="S19" s="104">
        <v>0</v>
      </c>
      <c r="T19" s="109">
        <v>0</v>
      </c>
      <c r="U19" s="110">
        <v>0</v>
      </c>
    </row>
    <row r="20" spans="2:21" ht="20.100000000000001" customHeight="1" x14ac:dyDescent="0.4">
      <c r="B20" s="266"/>
      <c r="C20" s="283"/>
      <c r="D20" s="100">
        <v>6116005</v>
      </c>
      <c r="E20" s="274" t="s">
        <v>107</v>
      </c>
      <c r="F20" s="275"/>
      <c r="G20" s="101">
        <f t="shared" si="2"/>
        <v>0</v>
      </c>
      <c r="H20" s="111">
        <f t="shared" si="3"/>
        <v>0</v>
      </c>
      <c r="I20" s="112">
        <f t="shared" si="4"/>
        <v>0</v>
      </c>
      <c r="J20" s="104">
        <v>0</v>
      </c>
      <c r="K20" s="105">
        <v>0</v>
      </c>
      <c r="L20" s="106">
        <v>0</v>
      </c>
      <c r="M20" s="107">
        <v>0</v>
      </c>
      <c r="N20" s="105">
        <v>0</v>
      </c>
      <c r="O20" s="108">
        <v>0</v>
      </c>
      <c r="P20" s="104">
        <v>0</v>
      </c>
      <c r="Q20" s="105">
        <v>0</v>
      </c>
      <c r="R20" s="108">
        <v>0</v>
      </c>
      <c r="S20" s="104">
        <v>0</v>
      </c>
      <c r="T20" s="109">
        <v>0</v>
      </c>
      <c r="U20" s="110">
        <v>0</v>
      </c>
    </row>
    <row r="21" spans="2:21" ht="20.100000000000001" customHeight="1" x14ac:dyDescent="0.4">
      <c r="B21" s="266"/>
      <c r="C21" s="283"/>
      <c r="D21" s="100">
        <v>6116006</v>
      </c>
      <c r="E21" s="274" t="s">
        <v>108</v>
      </c>
      <c r="F21" s="275"/>
      <c r="G21" s="101">
        <f t="shared" si="2"/>
        <v>583000</v>
      </c>
      <c r="H21" s="111">
        <f t="shared" si="3"/>
        <v>337880</v>
      </c>
      <c r="I21" s="112">
        <f t="shared" si="4"/>
        <v>245120</v>
      </c>
      <c r="J21" s="104">
        <v>0</v>
      </c>
      <c r="K21" s="105">
        <v>60270</v>
      </c>
      <c r="L21" s="106">
        <v>99640</v>
      </c>
      <c r="M21" s="107">
        <v>79200</v>
      </c>
      <c r="N21" s="105">
        <v>94670</v>
      </c>
      <c r="O21" s="108">
        <v>4100</v>
      </c>
      <c r="P21" s="104">
        <v>4230</v>
      </c>
      <c r="Q21" s="105">
        <v>75230</v>
      </c>
      <c r="R21" s="108">
        <v>90100</v>
      </c>
      <c r="S21" s="104">
        <v>67230</v>
      </c>
      <c r="T21" s="109">
        <v>4100</v>
      </c>
      <c r="U21" s="110">
        <v>4230</v>
      </c>
    </row>
    <row r="22" spans="2:21" ht="20.100000000000001" customHeight="1" x14ac:dyDescent="0.4">
      <c r="B22" s="266"/>
      <c r="C22" s="283"/>
      <c r="D22" s="100">
        <v>6116008</v>
      </c>
      <c r="E22" s="274" t="s">
        <v>109</v>
      </c>
      <c r="F22" s="275"/>
      <c r="G22" s="101">
        <f>SUM(H22:I22)</f>
        <v>259200</v>
      </c>
      <c r="H22" s="111">
        <f t="shared" si="3"/>
        <v>123676</v>
      </c>
      <c r="I22" s="112">
        <f t="shared" si="4"/>
        <v>135524</v>
      </c>
      <c r="J22" s="104">
        <v>0</v>
      </c>
      <c r="K22" s="105">
        <v>22074</v>
      </c>
      <c r="L22" s="106">
        <v>87320</v>
      </c>
      <c r="M22" s="107">
        <v>8400</v>
      </c>
      <c r="N22" s="113">
        <v>5882</v>
      </c>
      <c r="O22" s="108">
        <v>0</v>
      </c>
      <c r="P22" s="104">
        <v>0</v>
      </c>
      <c r="Q22" s="105">
        <v>52060</v>
      </c>
      <c r="R22" s="108">
        <v>15548</v>
      </c>
      <c r="S22" s="104">
        <v>31280</v>
      </c>
      <c r="T22" s="109">
        <v>4800</v>
      </c>
      <c r="U22" s="110">
        <v>31836</v>
      </c>
    </row>
    <row r="23" spans="2:21" ht="20.100000000000001" customHeight="1" x14ac:dyDescent="0.4">
      <c r="B23" s="266"/>
      <c r="C23" s="283"/>
      <c r="D23" s="100">
        <v>6116017</v>
      </c>
      <c r="E23" s="274" t="s">
        <v>110</v>
      </c>
      <c r="F23" s="275"/>
      <c r="G23" s="101">
        <f t="shared" si="2"/>
        <v>457800</v>
      </c>
      <c r="H23" s="111">
        <f t="shared" si="3"/>
        <v>337900</v>
      </c>
      <c r="I23" s="112">
        <f t="shared" si="4"/>
        <v>119900</v>
      </c>
      <c r="J23" s="104">
        <v>0</v>
      </c>
      <c r="K23" s="105">
        <v>0</v>
      </c>
      <c r="L23" s="106">
        <v>135400</v>
      </c>
      <c r="M23" s="107">
        <v>144500</v>
      </c>
      <c r="N23" s="105">
        <v>53400</v>
      </c>
      <c r="O23" s="108">
        <v>4600</v>
      </c>
      <c r="P23" s="104">
        <v>4600</v>
      </c>
      <c r="Q23" s="105">
        <v>55350</v>
      </c>
      <c r="R23" s="105">
        <v>55350</v>
      </c>
      <c r="S23" s="104">
        <v>4600</v>
      </c>
      <c r="T23" s="109">
        <v>0</v>
      </c>
      <c r="U23" s="110">
        <v>0</v>
      </c>
    </row>
    <row r="24" spans="2:21" ht="20.100000000000001" customHeight="1" x14ac:dyDescent="0.4">
      <c r="B24" s="266"/>
      <c r="C24" s="283"/>
      <c r="D24" s="100">
        <v>6116023</v>
      </c>
      <c r="E24" s="276" t="s">
        <v>111</v>
      </c>
      <c r="F24" s="277"/>
      <c r="G24" s="114">
        <f t="shared" si="2"/>
        <v>1100000</v>
      </c>
      <c r="H24" s="115">
        <f t="shared" si="3"/>
        <v>970000</v>
      </c>
      <c r="I24" s="116">
        <f t="shared" si="4"/>
        <v>130000</v>
      </c>
      <c r="J24" s="104">
        <v>0</v>
      </c>
      <c r="K24" s="105">
        <v>0</v>
      </c>
      <c r="L24" s="153">
        <v>470000</v>
      </c>
      <c r="M24" s="156">
        <v>450000</v>
      </c>
      <c r="N24" s="152">
        <v>50000</v>
      </c>
      <c r="O24" s="108"/>
      <c r="P24" s="104">
        <v>0</v>
      </c>
      <c r="Q24" s="152">
        <v>50000</v>
      </c>
      <c r="R24" s="157">
        <v>80000</v>
      </c>
      <c r="S24" s="104">
        <v>0</v>
      </c>
      <c r="T24" s="109">
        <v>0</v>
      </c>
      <c r="U24" s="110">
        <v>0</v>
      </c>
    </row>
    <row r="25" spans="2:21" ht="20.100000000000001" customHeight="1" x14ac:dyDescent="0.4">
      <c r="B25" s="266"/>
      <c r="C25" s="283"/>
      <c r="D25" s="278" t="s">
        <v>112</v>
      </c>
      <c r="E25" s="279"/>
      <c r="F25" s="280"/>
      <c r="G25" s="117">
        <f>SUM(G17:G24)</f>
        <v>4000000</v>
      </c>
      <c r="H25" s="118">
        <f t="shared" ref="H25:U25" si="5">SUM(H17:H24)</f>
        <v>2999456</v>
      </c>
      <c r="I25" s="119">
        <f t="shared" si="5"/>
        <v>1000544</v>
      </c>
      <c r="J25" s="120">
        <f t="shared" si="5"/>
        <v>0</v>
      </c>
      <c r="K25" s="121">
        <f t="shared" si="5"/>
        <v>382344</v>
      </c>
      <c r="L25" s="122">
        <f t="shared" si="5"/>
        <v>1122360</v>
      </c>
      <c r="M25" s="123">
        <f t="shared" si="5"/>
        <v>1032100</v>
      </c>
      <c r="N25" s="121">
        <f t="shared" si="5"/>
        <v>453952</v>
      </c>
      <c r="O25" s="124">
        <f t="shared" si="5"/>
        <v>8700</v>
      </c>
      <c r="P25" s="120">
        <f t="shared" si="5"/>
        <v>8830</v>
      </c>
      <c r="Q25" s="121">
        <f t="shared" si="5"/>
        <v>382640</v>
      </c>
      <c r="R25" s="124">
        <f t="shared" si="5"/>
        <v>460998</v>
      </c>
      <c r="S25" s="120">
        <f t="shared" si="5"/>
        <v>103110</v>
      </c>
      <c r="T25" s="121">
        <f t="shared" si="5"/>
        <v>8900</v>
      </c>
      <c r="U25" s="122">
        <f t="shared" si="5"/>
        <v>36066</v>
      </c>
    </row>
    <row r="26" spans="2:21" ht="20.399999999999999" customHeight="1" x14ac:dyDescent="0.4">
      <c r="B26" s="271" t="s">
        <v>113</v>
      </c>
      <c r="C26" s="272"/>
      <c r="D26" s="272"/>
      <c r="E26" s="272"/>
      <c r="F26" s="273"/>
      <c r="G26" s="125">
        <f t="shared" ref="G26:U26" si="6">G25</f>
        <v>4000000</v>
      </c>
      <c r="H26" s="126">
        <f t="shared" si="6"/>
        <v>2999456</v>
      </c>
      <c r="I26" s="127">
        <f t="shared" si="6"/>
        <v>1000544</v>
      </c>
      <c r="J26" s="126">
        <f t="shared" si="6"/>
        <v>0</v>
      </c>
      <c r="K26" s="128">
        <f t="shared" si="6"/>
        <v>382344</v>
      </c>
      <c r="L26" s="127">
        <f t="shared" si="6"/>
        <v>1122360</v>
      </c>
      <c r="M26" s="126">
        <f t="shared" si="6"/>
        <v>1032100</v>
      </c>
      <c r="N26" s="128">
        <f t="shared" si="6"/>
        <v>453952</v>
      </c>
      <c r="O26" s="127">
        <f t="shared" si="6"/>
        <v>8700</v>
      </c>
      <c r="P26" s="129">
        <f t="shared" si="6"/>
        <v>8830</v>
      </c>
      <c r="Q26" s="128">
        <f t="shared" si="6"/>
        <v>382640</v>
      </c>
      <c r="R26" s="130">
        <f t="shared" si="6"/>
        <v>460998</v>
      </c>
      <c r="S26" s="126">
        <f t="shared" si="6"/>
        <v>103110</v>
      </c>
      <c r="T26" s="128">
        <f t="shared" si="6"/>
        <v>8900</v>
      </c>
      <c r="U26" s="127">
        <f t="shared" si="6"/>
        <v>36066</v>
      </c>
    </row>
    <row r="27" spans="2:21" ht="20.100000000000001" customHeight="1" x14ac:dyDescent="0.4"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</row>
    <row r="28" spans="2:21" ht="20.100000000000001" customHeight="1" x14ac:dyDescent="0.4"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</row>
    <row r="29" spans="2:21" ht="20.100000000000001" customHeight="1" x14ac:dyDescent="0.4"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8DD3-454D-45F0-90FD-7EB1EA48F557}">
  <dimension ref="B1:V29"/>
  <sheetViews>
    <sheetView zoomScale="81" zoomScaleNormal="81" workbookViewId="0">
      <selection activeCell="B2" sqref="B2"/>
    </sheetView>
  </sheetViews>
  <sheetFormatPr defaultColWidth="10.59765625" defaultRowHeight="20.100000000000001" customHeight="1" x14ac:dyDescent="0.4"/>
  <cols>
    <col min="1" max="1" width="1.59765625" style="38" customWidth="1"/>
    <col min="2" max="2" width="9.09765625" style="38" customWidth="1"/>
    <col min="3" max="3" width="5.59765625" style="38" customWidth="1"/>
    <col min="4" max="9" width="10.59765625" style="38" bestFit="1" customWidth="1"/>
    <col min="10" max="10" width="10.69921875" style="38" bestFit="1" customWidth="1"/>
    <col min="11" max="12" width="10.59765625" style="38" bestFit="1" customWidth="1"/>
    <col min="13" max="13" width="10.69921875" style="38" bestFit="1" customWidth="1"/>
    <col min="14" max="17" width="9.09765625" style="38" customWidth="1"/>
    <col min="18" max="16384" width="10.59765625" style="38"/>
  </cols>
  <sheetData>
    <row r="1" spans="2:22" ht="10.199999999999999" customHeight="1" x14ac:dyDescent="0.4"/>
    <row r="2" spans="2:22" ht="30.15" customHeight="1" x14ac:dyDescent="0.3">
      <c r="B2" s="39" t="s">
        <v>114</v>
      </c>
      <c r="U2" s="40" t="s">
        <v>144</v>
      </c>
      <c r="V2" s="41"/>
    </row>
    <row r="3" spans="2:22" s="44" customFormat="1" ht="1.2" customHeight="1" thickBot="1" x14ac:dyDescent="0.4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  <c r="R3" s="43"/>
      <c r="S3" s="43"/>
      <c r="T3" s="43"/>
      <c r="U3" s="42"/>
    </row>
    <row r="4" spans="2:22" s="44" customFormat="1" ht="2.1" customHeight="1" thickTop="1" x14ac:dyDescent="0.4">
      <c r="U4" s="45"/>
    </row>
    <row r="5" spans="2:22" s="44" customFormat="1" ht="2.1" customHeight="1" x14ac:dyDescent="0.4">
      <c r="U5" s="45"/>
    </row>
    <row r="6" spans="2:22" s="48" customFormat="1" ht="20.100000000000001" customHeight="1" x14ac:dyDescent="0.4"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7" t="s">
        <v>86</v>
      </c>
    </row>
    <row r="7" spans="2:22" s="48" customFormat="1" ht="20.100000000000001" customHeight="1" x14ac:dyDescent="0.4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 spans="2:22" s="48" customFormat="1" ht="20.100000000000001" customHeight="1" x14ac:dyDescent="0.4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</row>
    <row r="9" spans="2:22" ht="5.0999999999999996" customHeight="1" x14ac:dyDescent="0.4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51"/>
      <c r="R9" s="51"/>
      <c r="S9" s="51"/>
      <c r="T9" s="51"/>
    </row>
    <row r="10" spans="2:22" ht="24.9" customHeight="1" x14ac:dyDescent="0.35">
      <c r="B10" s="52" t="s">
        <v>87</v>
      </c>
      <c r="C10" s="52"/>
      <c r="D10" s="52"/>
      <c r="E10" s="52"/>
      <c r="F10" s="52"/>
      <c r="G10" s="52"/>
      <c r="H10" s="52"/>
      <c r="I10" s="52"/>
      <c r="J10" s="52"/>
      <c r="K10" s="52"/>
      <c r="M10" s="52"/>
      <c r="N10" s="52"/>
      <c r="O10" s="52"/>
      <c r="P10" s="52"/>
      <c r="Q10" s="52"/>
      <c r="R10" s="53"/>
      <c r="S10" s="53"/>
      <c r="T10" s="53"/>
      <c r="U10" s="54" t="s">
        <v>88</v>
      </c>
    </row>
    <row r="11" spans="2:22" ht="20.100000000000001" customHeight="1" thickBot="1" x14ac:dyDescent="0.45">
      <c r="B11" s="286" t="s">
        <v>89</v>
      </c>
      <c r="C11" s="287"/>
      <c r="D11" s="55" t="s">
        <v>90</v>
      </c>
      <c r="E11" s="56" t="s">
        <v>91</v>
      </c>
      <c r="F11" s="57" t="s">
        <v>92</v>
      </c>
      <c r="G11" s="56" t="s">
        <v>93</v>
      </c>
      <c r="H11" s="58" t="s">
        <v>94</v>
      </c>
      <c r="I11" s="58" t="s">
        <v>95</v>
      </c>
      <c r="J11" s="58" t="s">
        <v>6</v>
      </c>
      <c r="K11" s="58" t="s">
        <v>7</v>
      </c>
      <c r="L11" s="57" t="s">
        <v>8</v>
      </c>
      <c r="M11" s="56" t="s">
        <v>9</v>
      </c>
      <c r="N11" s="58" t="s">
        <v>10</v>
      </c>
      <c r="O11" s="58" t="s">
        <v>11</v>
      </c>
      <c r="P11" s="58" t="s">
        <v>12</v>
      </c>
      <c r="Q11" s="58" t="s">
        <v>13</v>
      </c>
      <c r="R11" s="57" t="s">
        <v>14</v>
      </c>
      <c r="S11" s="288" t="s">
        <v>96</v>
      </c>
      <c r="T11" s="288"/>
      <c r="U11" s="289"/>
    </row>
    <row r="12" spans="2:22" ht="20.100000000000001" customHeight="1" thickTop="1" x14ac:dyDescent="0.4">
      <c r="B12" s="59" t="s">
        <v>97</v>
      </c>
      <c r="C12" s="60" t="s">
        <v>98</v>
      </c>
      <c r="D12" s="61">
        <f>SUM(E12:F12)</f>
        <v>4000000</v>
      </c>
      <c r="E12" s="62">
        <f>SUM(G12:L12)</f>
        <v>2999456</v>
      </c>
      <c r="F12" s="63">
        <f>SUM(M12:R12)</f>
        <v>1000544</v>
      </c>
      <c r="G12" s="64">
        <f t="shared" ref="G12:R12" si="0">SUM(G13:G13)</f>
        <v>0</v>
      </c>
      <c r="H12" s="65">
        <f t="shared" si="0"/>
        <v>382344</v>
      </c>
      <c r="I12" s="65">
        <f t="shared" si="0"/>
        <v>1122360</v>
      </c>
      <c r="J12" s="65">
        <f t="shared" si="0"/>
        <v>1032100</v>
      </c>
      <c r="K12" s="65">
        <f t="shared" si="0"/>
        <v>453952</v>
      </c>
      <c r="L12" s="66">
        <f t="shared" si="0"/>
        <v>8700</v>
      </c>
      <c r="M12" s="64">
        <f t="shared" si="0"/>
        <v>8830</v>
      </c>
      <c r="N12" s="65">
        <f t="shared" si="0"/>
        <v>382640</v>
      </c>
      <c r="O12" s="65">
        <f t="shared" si="0"/>
        <v>460998</v>
      </c>
      <c r="P12" s="65">
        <f t="shared" si="0"/>
        <v>103110</v>
      </c>
      <c r="Q12" s="65">
        <f t="shared" si="0"/>
        <v>8900</v>
      </c>
      <c r="R12" s="66">
        <f t="shared" si="0"/>
        <v>36066</v>
      </c>
      <c r="S12" s="290"/>
      <c r="T12" s="290"/>
      <c r="U12" s="291"/>
    </row>
    <row r="13" spans="2:22" ht="20.100000000000001" customHeight="1" x14ac:dyDescent="0.4">
      <c r="B13" s="67" t="s">
        <v>99</v>
      </c>
      <c r="C13" s="68" t="s">
        <v>100</v>
      </c>
      <c r="D13" s="69">
        <f>SUM(E13:F13)</f>
        <v>4000000</v>
      </c>
      <c r="E13" s="70">
        <f>SUM(G13:L13)</f>
        <v>2999456</v>
      </c>
      <c r="F13" s="71">
        <f>SUM(M13:R13)</f>
        <v>1000544</v>
      </c>
      <c r="G13" s="72">
        <f>J26</f>
        <v>0</v>
      </c>
      <c r="H13" s="73">
        <f t="shared" ref="H13:R13" si="1">K26</f>
        <v>382344</v>
      </c>
      <c r="I13" s="73">
        <f t="shared" si="1"/>
        <v>1122360</v>
      </c>
      <c r="J13" s="73">
        <f t="shared" si="1"/>
        <v>1032100</v>
      </c>
      <c r="K13" s="73">
        <f t="shared" si="1"/>
        <v>453952</v>
      </c>
      <c r="L13" s="74">
        <f t="shared" si="1"/>
        <v>8700</v>
      </c>
      <c r="M13" s="75">
        <f t="shared" si="1"/>
        <v>8830</v>
      </c>
      <c r="N13" s="76">
        <f t="shared" si="1"/>
        <v>382640</v>
      </c>
      <c r="O13" s="76">
        <f t="shared" si="1"/>
        <v>460998</v>
      </c>
      <c r="P13" s="76">
        <f t="shared" si="1"/>
        <v>103110</v>
      </c>
      <c r="Q13" s="76">
        <f t="shared" si="1"/>
        <v>8900</v>
      </c>
      <c r="R13" s="77">
        <f t="shared" si="1"/>
        <v>36066</v>
      </c>
      <c r="S13" s="78"/>
      <c r="T13" s="78"/>
      <c r="U13" s="79"/>
    </row>
    <row r="14" spans="2:22" ht="10.199999999999999" customHeight="1" x14ac:dyDescent="0.4">
      <c r="B14" s="80"/>
      <c r="C14" s="81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1"/>
      <c r="T14" s="81"/>
      <c r="U14" s="81"/>
    </row>
    <row r="15" spans="2:22" ht="24.9" customHeight="1" x14ac:dyDescent="0.4">
      <c r="B15" s="83" t="s">
        <v>101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U15" s="54" t="s">
        <v>88</v>
      </c>
    </row>
    <row r="16" spans="2:22" ht="20.100000000000001" customHeight="1" thickBot="1" x14ac:dyDescent="0.45">
      <c r="B16" s="292" t="s">
        <v>89</v>
      </c>
      <c r="C16" s="293"/>
      <c r="D16" s="58" t="s">
        <v>102</v>
      </c>
      <c r="E16" s="294" t="s">
        <v>103</v>
      </c>
      <c r="F16" s="295"/>
      <c r="G16" s="85" t="s">
        <v>90</v>
      </c>
      <c r="H16" s="56" t="s">
        <v>91</v>
      </c>
      <c r="I16" s="57" t="s">
        <v>92</v>
      </c>
      <c r="J16" s="56" t="s">
        <v>93</v>
      </c>
      <c r="K16" s="58" t="s">
        <v>94</v>
      </c>
      <c r="L16" s="57" t="s">
        <v>95</v>
      </c>
      <c r="M16" s="86" t="s">
        <v>6</v>
      </c>
      <c r="N16" s="58" t="s">
        <v>7</v>
      </c>
      <c r="O16" s="87" t="s">
        <v>8</v>
      </c>
      <c r="P16" s="56" t="s">
        <v>9</v>
      </c>
      <c r="Q16" s="58" t="s">
        <v>10</v>
      </c>
      <c r="R16" s="87" t="s">
        <v>11</v>
      </c>
      <c r="S16" s="56" t="s">
        <v>12</v>
      </c>
      <c r="T16" s="58" t="s">
        <v>13</v>
      </c>
      <c r="U16" s="57" t="s">
        <v>14</v>
      </c>
    </row>
    <row r="17" spans="2:21" ht="20.100000000000001" customHeight="1" thickTop="1" x14ac:dyDescent="0.4">
      <c r="B17" s="281" t="s">
        <v>99</v>
      </c>
      <c r="C17" s="282" t="s">
        <v>100</v>
      </c>
      <c r="D17" s="88">
        <v>6116001</v>
      </c>
      <c r="E17" s="284" t="s">
        <v>104</v>
      </c>
      <c r="F17" s="285"/>
      <c r="G17" s="89">
        <f t="shared" ref="G17:G24" si="2">SUM(H17:I17)</f>
        <v>1600000</v>
      </c>
      <c r="H17" s="90">
        <f t="shared" ref="H17:H24" si="3">SUM(J17:O17)</f>
        <v>1250000</v>
      </c>
      <c r="I17" s="91">
        <f t="shared" ref="I17:I24" si="4">SUM(P17:U17)</f>
        <v>350000</v>
      </c>
      <c r="J17" s="92">
        <v>0</v>
      </c>
      <c r="K17" s="93">
        <v>300000</v>
      </c>
      <c r="L17" s="94">
        <v>400000</v>
      </c>
      <c r="M17" s="95">
        <v>400000</v>
      </c>
      <c r="N17" s="93">
        <v>150000</v>
      </c>
      <c r="O17" s="96">
        <v>0</v>
      </c>
      <c r="P17" s="92">
        <v>0</v>
      </c>
      <c r="Q17" s="93">
        <v>200000</v>
      </c>
      <c r="R17" s="97">
        <v>150000</v>
      </c>
      <c r="S17" s="92"/>
      <c r="T17" s="98">
        <v>0</v>
      </c>
      <c r="U17" s="99">
        <v>0</v>
      </c>
    </row>
    <row r="18" spans="2:21" ht="20.100000000000001" customHeight="1" x14ac:dyDescent="0.4">
      <c r="B18" s="266"/>
      <c r="C18" s="283"/>
      <c r="D18" s="100">
        <v>6116003</v>
      </c>
      <c r="E18" s="274" t="s">
        <v>105</v>
      </c>
      <c r="F18" s="275"/>
      <c r="G18" s="101">
        <f t="shared" si="2"/>
        <v>0</v>
      </c>
      <c r="H18" s="102">
        <f t="shared" si="3"/>
        <v>0</v>
      </c>
      <c r="I18" s="103">
        <f t="shared" si="4"/>
        <v>0</v>
      </c>
      <c r="J18" s="104">
        <v>0</v>
      </c>
      <c r="K18" s="105">
        <v>0</v>
      </c>
      <c r="L18" s="106">
        <v>0</v>
      </c>
      <c r="M18" s="107">
        <v>0</v>
      </c>
      <c r="N18" s="105">
        <v>0</v>
      </c>
      <c r="O18" s="108">
        <v>0</v>
      </c>
      <c r="P18" s="104">
        <v>0</v>
      </c>
      <c r="Q18" s="105">
        <v>0</v>
      </c>
      <c r="R18" s="108"/>
      <c r="S18" s="104">
        <v>0</v>
      </c>
      <c r="T18" s="109">
        <v>0</v>
      </c>
      <c r="U18" s="110">
        <v>0</v>
      </c>
    </row>
    <row r="19" spans="2:21" ht="20.100000000000001" customHeight="1" x14ac:dyDescent="0.4">
      <c r="B19" s="266"/>
      <c r="C19" s="283"/>
      <c r="D19" s="100">
        <v>6116004</v>
      </c>
      <c r="E19" s="274" t="s">
        <v>106</v>
      </c>
      <c r="F19" s="275"/>
      <c r="G19" s="101">
        <f t="shared" si="2"/>
        <v>0</v>
      </c>
      <c r="H19" s="111">
        <f t="shared" si="3"/>
        <v>0</v>
      </c>
      <c r="I19" s="112">
        <f t="shared" si="4"/>
        <v>0</v>
      </c>
      <c r="J19" s="104">
        <v>0</v>
      </c>
      <c r="K19" s="105">
        <v>0</v>
      </c>
      <c r="L19" s="106">
        <v>0</v>
      </c>
      <c r="M19" s="107">
        <v>0</v>
      </c>
      <c r="N19" s="105">
        <v>0</v>
      </c>
      <c r="O19" s="108">
        <v>0</v>
      </c>
      <c r="P19" s="104">
        <v>0</v>
      </c>
      <c r="Q19" s="105">
        <v>0</v>
      </c>
      <c r="R19" s="108">
        <v>0</v>
      </c>
      <c r="S19" s="104">
        <v>0</v>
      </c>
      <c r="T19" s="109">
        <v>0</v>
      </c>
      <c r="U19" s="110">
        <v>0</v>
      </c>
    </row>
    <row r="20" spans="2:21" ht="20.100000000000001" customHeight="1" x14ac:dyDescent="0.4">
      <c r="B20" s="266"/>
      <c r="C20" s="283"/>
      <c r="D20" s="100">
        <v>6116005</v>
      </c>
      <c r="E20" s="274" t="s">
        <v>107</v>
      </c>
      <c r="F20" s="275"/>
      <c r="G20" s="101">
        <f t="shared" si="2"/>
        <v>0</v>
      </c>
      <c r="H20" s="111">
        <f t="shared" si="3"/>
        <v>0</v>
      </c>
      <c r="I20" s="112">
        <f t="shared" si="4"/>
        <v>0</v>
      </c>
      <c r="J20" s="104">
        <v>0</v>
      </c>
      <c r="K20" s="105">
        <v>0</v>
      </c>
      <c r="L20" s="106">
        <v>0</v>
      </c>
      <c r="M20" s="107">
        <v>0</v>
      </c>
      <c r="N20" s="105">
        <v>0</v>
      </c>
      <c r="O20" s="108">
        <v>0</v>
      </c>
      <c r="P20" s="104">
        <v>0</v>
      </c>
      <c r="Q20" s="105">
        <v>0</v>
      </c>
      <c r="R20" s="108">
        <v>0</v>
      </c>
      <c r="S20" s="104">
        <v>0</v>
      </c>
      <c r="T20" s="109">
        <v>0</v>
      </c>
      <c r="U20" s="110">
        <v>0</v>
      </c>
    </row>
    <row r="21" spans="2:21" ht="20.100000000000001" customHeight="1" x14ac:dyDescent="0.4">
      <c r="B21" s="266"/>
      <c r="C21" s="283"/>
      <c r="D21" s="100">
        <v>6116006</v>
      </c>
      <c r="E21" s="274" t="s">
        <v>108</v>
      </c>
      <c r="F21" s="275"/>
      <c r="G21" s="101">
        <f t="shared" si="2"/>
        <v>583000</v>
      </c>
      <c r="H21" s="111">
        <f t="shared" si="3"/>
        <v>337880</v>
      </c>
      <c r="I21" s="112">
        <f t="shared" si="4"/>
        <v>245120</v>
      </c>
      <c r="J21" s="104">
        <v>0</v>
      </c>
      <c r="K21" s="105">
        <v>60270</v>
      </c>
      <c r="L21" s="106">
        <v>99640</v>
      </c>
      <c r="M21" s="107">
        <v>79200</v>
      </c>
      <c r="N21" s="105">
        <v>94670</v>
      </c>
      <c r="O21" s="108">
        <v>4100</v>
      </c>
      <c r="P21" s="104">
        <v>4230</v>
      </c>
      <c r="Q21" s="105">
        <v>75230</v>
      </c>
      <c r="R21" s="108">
        <v>90100</v>
      </c>
      <c r="S21" s="104">
        <v>67230</v>
      </c>
      <c r="T21" s="109">
        <v>4100</v>
      </c>
      <c r="U21" s="110">
        <v>4230</v>
      </c>
    </row>
    <row r="22" spans="2:21" ht="20.100000000000001" customHeight="1" x14ac:dyDescent="0.4">
      <c r="B22" s="266"/>
      <c r="C22" s="283"/>
      <c r="D22" s="100">
        <v>6116008</v>
      </c>
      <c r="E22" s="274" t="s">
        <v>109</v>
      </c>
      <c r="F22" s="275"/>
      <c r="G22" s="101">
        <f>SUM(H22:I22)</f>
        <v>259200</v>
      </c>
      <c r="H22" s="111">
        <f t="shared" si="3"/>
        <v>123676</v>
      </c>
      <c r="I22" s="112">
        <f t="shared" si="4"/>
        <v>135524</v>
      </c>
      <c r="J22" s="104">
        <v>0</v>
      </c>
      <c r="K22" s="152">
        <v>22074</v>
      </c>
      <c r="L22" s="153">
        <v>87320</v>
      </c>
      <c r="M22" s="156">
        <v>8400</v>
      </c>
      <c r="N22" s="113">
        <v>5882</v>
      </c>
      <c r="O22" s="108">
        <v>0</v>
      </c>
      <c r="P22" s="104">
        <v>0</v>
      </c>
      <c r="Q22" s="105">
        <v>52060</v>
      </c>
      <c r="R22" s="157">
        <v>15548</v>
      </c>
      <c r="S22" s="104">
        <v>31280</v>
      </c>
      <c r="T22" s="109">
        <v>4800</v>
      </c>
      <c r="U22" s="110">
        <v>31836</v>
      </c>
    </row>
    <row r="23" spans="2:21" ht="20.100000000000001" customHeight="1" x14ac:dyDescent="0.4">
      <c r="B23" s="266"/>
      <c r="C23" s="283"/>
      <c r="D23" s="100">
        <v>6116017</v>
      </c>
      <c r="E23" s="274" t="s">
        <v>110</v>
      </c>
      <c r="F23" s="275"/>
      <c r="G23" s="101">
        <f t="shared" si="2"/>
        <v>457800</v>
      </c>
      <c r="H23" s="111">
        <f t="shared" si="3"/>
        <v>337900</v>
      </c>
      <c r="I23" s="112">
        <f t="shared" si="4"/>
        <v>119900</v>
      </c>
      <c r="J23" s="104">
        <v>0</v>
      </c>
      <c r="K23" s="105">
        <v>0</v>
      </c>
      <c r="L23" s="153">
        <v>135400</v>
      </c>
      <c r="M23" s="156">
        <v>144500</v>
      </c>
      <c r="N23" s="152">
        <v>53400</v>
      </c>
      <c r="O23" s="108">
        <v>4600</v>
      </c>
      <c r="P23" s="104">
        <v>4600</v>
      </c>
      <c r="Q23" s="152">
        <v>55350</v>
      </c>
      <c r="R23" s="152">
        <v>55350</v>
      </c>
      <c r="S23" s="104">
        <v>4600</v>
      </c>
      <c r="T23" s="109">
        <v>0</v>
      </c>
      <c r="U23" s="110">
        <v>0</v>
      </c>
    </row>
    <row r="24" spans="2:21" ht="20.100000000000001" customHeight="1" x14ac:dyDescent="0.4">
      <c r="B24" s="266"/>
      <c r="C24" s="283"/>
      <c r="D24" s="100">
        <v>6116023</v>
      </c>
      <c r="E24" s="276" t="s">
        <v>111</v>
      </c>
      <c r="F24" s="277"/>
      <c r="G24" s="114">
        <f t="shared" si="2"/>
        <v>1100000</v>
      </c>
      <c r="H24" s="115">
        <f t="shared" si="3"/>
        <v>950000</v>
      </c>
      <c r="I24" s="116">
        <f t="shared" si="4"/>
        <v>150000</v>
      </c>
      <c r="J24" s="104">
        <v>0</v>
      </c>
      <c r="K24" s="105">
        <v>0</v>
      </c>
      <c r="L24" s="106">
        <v>400000</v>
      </c>
      <c r="M24" s="107">
        <v>400000</v>
      </c>
      <c r="N24" s="105">
        <v>150000</v>
      </c>
      <c r="O24" s="108"/>
      <c r="P24" s="104">
        <v>0</v>
      </c>
      <c r="Q24" s="105">
        <v>0</v>
      </c>
      <c r="R24" s="108">
        <v>150000</v>
      </c>
      <c r="S24" s="104">
        <v>0</v>
      </c>
      <c r="T24" s="109">
        <v>0</v>
      </c>
      <c r="U24" s="110">
        <v>0</v>
      </c>
    </row>
    <row r="25" spans="2:21" ht="20.100000000000001" customHeight="1" x14ac:dyDescent="0.4">
      <c r="B25" s="266"/>
      <c r="C25" s="283"/>
      <c r="D25" s="278" t="s">
        <v>112</v>
      </c>
      <c r="E25" s="279"/>
      <c r="F25" s="280"/>
      <c r="G25" s="117">
        <f>SUM(G17:G24)</f>
        <v>4000000</v>
      </c>
      <c r="H25" s="118">
        <f t="shared" ref="H25:U25" si="5">SUM(H17:H24)</f>
        <v>2999456</v>
      </c>
      <c r="I25" s="119">
        <f t="shared" si="5"/>
        <v>1000544</v>
      </c>
      <c r="J25" s="120">
        <f t="shared" si="5"/>
        <v>0</v>
      </c>
      <c r="K25" s="121">
        <f t="shared" si="5"/>
        <v>382344</v>
      </c>
      <c r="L25" s="122">
        <f t="shared" si="5"/>
        <v>1122360</v>
      </c>
      <c r="M25" s="123">
        <f t="shared" si="5"/>
        <v>1032100</v>
      </c>
      <c r="N25" s="121">
        <f t="shared" si="5"/>
        <v>453952</v>
      </c>
      <c r="O25" s="124">
        <f t="shared" si="5"/>
        <v>8700</v>
      </c>
      <c r="P25" s="120">
        <f t="shared" si="5"/>
        <v>8830</v>
      </c>
      <c r="Q25" s="121">
        <f t="shared" si="5"/>
        <v>382640</v>
      </c>
      <c r="R25" s="124">
        <f t="shared" si="5"/>
        <v>460998</v>
      </c>
      <c r="S25" s="120">
        <f t="shared" si="5"/>
        <v>103110</v>
      </c>
      <c r="T25" s="121">
        <f t="shared" si="5"/>
        <v>8900</v>
      </c>
      <c r="U25" s="122">
        <f t="shared" si="5"/>
        <v>36066</v>
      </c>
    </row>
    <row r="26" spans="2:21" ht="20.399999999999999" customHeight="1" x14ac:dyDescent="0.4">
      <c r="B26" s="271" t="s">
        <v>113</v>
      </c>
      <c r="C26" s="272"/>
      <c r="D26" s="272"/>
      <c r="E26" s="272"/>
      <c r="F26" s="273"/>
      <c r="G26" s="125">
        <f t="shared" ref="G26:U26" si="6">G25</f>
        <v>4000000</v>
      </c>
      <c r="H26" s="126">
        <f t="shared" si="6"/>
        <v>2999456</v>
      </c>
      <c r="I26" s="127">
        <f t="shared" si="6"/>
        <v>1000544</v>
      </c>
      <c r="J26" s="126">
        <f t="shared" si="6"/>
        <v>0</v>
      </c>
      <c r="K26" s="128">
        <f t="shared" si="6"/>
        <v>382344</v>
      </c>
      <c r="L26" s="127">
        <f t="shared" si="6"/>
        <v>1122360</v>
      </c>
      <c r="M26" s="126">
        <f t="shared" si="6"/>
        <v>1032100</v>
      </c>
      <c r="N26" s="128">
        <f t="shared" si="6"/>
        <v>453952</v>
      </c>
      <c r="O26" s="127">
        <f t="shared" si="6"/>
        <v>8700</v>
      </c>
      <c r="P26" s="129">
        <f t="shared" si="6"/>
        <v>8830</v>
      </c>
      <c r="Q26" s="128">
        <f t="shared" si="6"/>
        <v>382640</v>
      </c>
      <c r="R26" s="130">
        <f t="shared" si="6"/>
        <v>460998</v>
      </c>
      <c r="S26" s="126">
        <f t="shared" si="6"/>
        <v>103110</v>
      </c>
      <c r="T26" s="128">
        <f t="shared" si="6"/>
        <v>8900</v>
      </c>
      <c r="U26" s="127">
        <f t="shared" si="6"/>
        <v>36066</v>
      </c>
    </row>
    <row r="27" spans="2:21" ht="20.100000000000001" customHeight="1" x14ac:dyDescent="0.4"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</row>
    <row r="28" spans="2:21" ht="20.100000000000001" customHeight="1" x14ac:dyDescent="0.4"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</row>
    <row r="29" spans="2:21" ht="20.100000000000001" customHeight="1" x14ac:dyDescent="0.4"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D57F-3D76-4E06-9FAD-B1EA24FBFF4D}">
  <dimension ref="B1:V29"/>
  <sheetViews>
    <sheetView zoomScale="81" zoomScaleNormal="81" workbookViewId="0">
      <selection activeCell="B2" sqref="B2"/>
    </sheetView>
  </sheetViews>
  <sheetFormatPr defaultColWidth="10.59765625" defaultRowHeight="20.100000000000001" customHeight="1" x14ac:dyDescent="0.4"/>
  <cols>
    <col min="1" max="1" width="1.59765625" style="38" customWidth="1"/>
    <col min="2" max="2" width="9.09765625" style="38" customWidth="1"/>
    <col min="3" max="3" width="5.59765625" style="38" customWidth="1"/>
    <col min="4" max="9" width="10.59765625" style="38" bestFit="1" customWidth="1"/>
    <col min="10" max="10" width="9.09765625" style="38" customWidth="1"/>
    <col min="11" max="12" width="10.59765625" style="38" bestFit="1" customWidth="1"/>
    <col min="13" max="17" width="9.09765625" style="38" customWidth="1"/>
    <col min="18" max="16384" width="10.59765625" style="38"/>
  </cols>
  <sheetData>
    <row r="1" spans="2:22" ht="10.199999999999999" customHeight="1" x14ac:dyDescent="0.4"/>
    <row r="2" spans="2:22" ht="30.15" customHeight="1" x14ac:dyDescent="0.3">
      <c r="B2" s="39" t="s">
        <v>114</v>
      </c>
      <c r="U2" s="40" t="s">
        <v>140</v>
      </c>
      <c r="V2" s="41"/>
    </row>
    <row r="3" spans="2:22" s="44" customFormat="1" ht="1.2" customHeight="1" thickBot="1" x14ac:dyDescent="0.45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3"/>
      <c r="R3" s="43"/>
      <c r="S3" s="43"/>
      <c r="T3" s="43"/>
      <c r="U3" s="42"/>
    </row>
    <row r="4" spans="2:22" s="44" customFormat="1" ht="2.1" customHeight="1" thickTop="1" x14ac:dyDescent="0.4">
      <c r="U4" s="45"/>
    </row>
    <row r="5" spans="2:22" s="44" customFormat="1" ht="2.1" customHeight="1" x14ac:dyDescent="0.4">
      <c r="U5" s="45"/>
    </row>
    <row r="6" spans="2:22" s="48" customFormat="1" ht="20.100000000000001" customHeight="1" x14ac:dyDescent="0.4"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7" t="s">
        <v>86</v>
      </c>
    </row>
    <row r="7" spans="2:22" s="48" customFormat="1" ht="20.100000000000001" customHeight="1" x14ac:dyDescent="0.4">
      <c r="B7" s="49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 spans="2:22" s="48" customFormat="1" ht="20.100000000000001" customHeight="1" x14ac:dyDescent="0.4"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</row>
    <row r="9" spans="2:22" ht="5.0999999999999996" customHeight="1" x14ac:dyDescent="0.4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51"/>
      <c r="R9" s="51"/>
      <c r="S9" s="51"/>
      <c r="T9" s="51"/>
    </row>
    <row r="10" spans="2:22" ht="24.9" customHeight="1" x14ac:dyDescent="0.35">
      <c r="B10" s="52" t="s">
        <v>87</v>
      </c>
      <c r="C10" s="52"/>
      <c r="D10" s="52"/>
      <c r="E10" s="52"/>
      <c r="F10" s="52"/>
      <c r="G10" s="52"/>
      <c r="H10" s="52"/>
      <c r="I10" s="52"/>
      <c r="J10" s="52"/>
      <c r="K10" s="52"/>
      <c r="M10" s="52"/>
      <c r="N10" s="52"/>
      <c r="O10" s="52"/>
      <c r="P10" s="52"/>
      <c r="Q10" s="52"/>
      <c r="R10" s="53"/>
      <c r="S10" s="53"/>
      <c r="T10" s="53"/>
      <c r="U10" s="54" t="s">
        <v>88</v>
      </c>
    </row>
    <row r="11" spans="2:22" ht="20.100000000000001" customHeight="1" thickBot="1" x14ac:dyDescent="0.45">
      <c r="B11" s="286" t="s">
        <v>89</v>
      </c>
      <c r="C11" s="287"/>
      <c r="D11" s="55" t="s">
        <v>90</v>
      </c>
      <c r="E11" s="56" t="s">
        <v>91</v>
      </c>
      <c r="F11" s="57" t="s">
        <v>92</v>
      </c>
      <c r="G11" s="56" t="s">
        <v>93</v>
      </c>
      <c r="H11" s="149" t="s">
        <v>94</v>
      </c>
      <c r="I11" s="149" t="s">
        <v>95</v>
      </c>
      <c r="J11" s="149" t="s">
        <v>6</v>
      </c>
      <c r="K11" s="149" t="s">
        <v>7</v>
      </c>
      <c r="L11" s="57" t="s">
        <v>8</v>
      </c>
      <c r="M11" s="56" t="s">
        <v>9</v>
      </c>
      <c r="N11" s="149" t="s">
        <v>10</v>
      </c>
      <c r="O11" s="149" t="s">
        <v>11</v>
      </c>
      <c r="P11" s="149" t="s">
        <v>12</v>
      </c>
      <c r="Q11" s="149" t="s">
        <v>13</v>
      </c>
      <c r="R11" s="57" t="s">
        <v>14</v>
      </c>
      <c r="S11" s="288" t="s">
        <v>96</v>
      </c>
      <c r="T11" s="288"/>
      <c r="U11" s="289"/>
    </row>
    <row r="12" spans="2:22" ht="20.100000000000001" customHeight="1" thickTop="1" x14ac:dyDescent="0.4">
      <c r="B12" s="59" t="s">
        <v>97</v>
      </c>
      <c r="C12" s="60" t="s">
        <v>98</v>
      </c>
      <c r="D12" s="61">
        <f>SUM(E12:F12)</f>
        <v>4000001</v>
      </c>
      <c r="E12" s="62">
        <f>SUM(G12:L12)</f>
        <v>3011093</v>
      </c>
      <c r="F12" s="63">
        <f>SUM(M12:R12)</f>
        <v>988908</v>
      </c>
      <c r="G12" s="64">
        <f t="shared" ref="G12:R12" si="0">SUM(G13:G13)</f>
        <v>0</v>
      </c>
      <c r="H12" s="65">
        <f t="shared" si="0"/>
        <v>445400</v>
      </c>
      <c r="I12" s="65">
        <f t="shared" si="0"/>
        <v>1124040</v>
      </c>
      <c r="J12" s="65">
        <f t="shared" si="0"/>
        <v>979800</v>
      </c>
      <c r="K12" s="65">
        <f t="shared" si="0"/>
        <v>453153</v>
      </c>
      <c r="L12" s="66">
        <f t="shared" si="0"/>
        <v>8700</v>
      </c>
      <c r="M12" s="64">
        <f t="shared" si="0"/>
        <v>8830</v>
      </c>
      <c r="N12" s="65">
        <f t="shared" si="0"/>
        <v>379890</v>
      </c>
      <c r="O12" s="65">
        <f t="shared" si="0"/>
        <v>452112</v>
      </c>
      <c r="P12" s="65">
        <f t="shared" si="0"/>
        <v>103110</v>
      </c>
      <c r="Q12" s="65">
        <f t="shared" si="0"/>
        <v>8900</v>
      </c>
      <c r="R12" s="66">
        <f t="shared" si="0"/>
        <v>36066</v>
      </c>
      <c r="S12" s="290"/>
      <c r="T12" s="290"/>
      <c r="U12" s="291"/>
    </row>
    <row r="13" spans="2:22" ht="20.100000000000001" customHeight="1" x14ac:dyDescent="0.4">
      <c r="B13" s="67" t="s">
        <v>99</v>
      </c>
      <c r="C13" s="68" t="s">
        <v>100</v>
      </c>
      <c r="D13" s="69">
        <f>SUM(E13:F13)</f>
        <v>4000001</v>
      </c>
      <c r="E13" s="70">
        <f>SUM(G13:L13)</f>
        <v>3011093</v>
      </c>
      <c r="F13" s="71">
        <f>SUM(M13:R13)</f>
        <v>988908</v>
      </c>
      <c r="G13" s="72">
        <f t="shared" ref="G13:R13" si="1">J26</f>
        <v>0</v>
      </c>
      <c r="H13" s="73">
        <f t="shared" si="1"/>
        <v>445400</v>
      </c>
      <c r="I13" s="73">
        <f t="shared" si="1"/>
        <v>1124040</v>
      </c>
      <c r="J13" s="73">
        <f t="shared" si="1"/>
        <v>979800</v>
      </c>
      <c r="K13" s="73">
        <f t="shared" si="1"/>
        <v>453153</v>
      </c>
      <c r="L13" s="74">
        <f t="shared" si="1"/>
        <v>8700</v>
      </c>
      <c r="M13" s="75">
        <f t="shared" si="1"/>
        <v>8830</v>
      </c>
      <c r="N13" s="76">
        <f t="shared" si="1"/>
        <v>379890</v>
      </c>
      <c r="O13" s="76">
        <f t="shared" si="1"/>
        <v>452112</v>
      </c>
      <c r="P13" s="76">
        <f t="shared" si="1"/>
        <v>103110</v>
      </c>
      <c r="Q13" s="76">
        <f t="shared" si="1"/>
        <v>8900</v>
      </c>
      <c r="R13" s="77">
        <f t="shared" si="1"/>
        <v>36066</v>
      </c>
      <c r="S13" s="78"/>
      <c r="T13" s="78"/>
      <c r="U13" s="79"/>
    </row>
    <row r="14" spans="2:22" ht="10.199999999999999" customHeight="1" x14ac:dyDescent="0.4">
      <c r="B14" s="80"/>
      <c r="C14" s="81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1"/>
      <c r="T14" s="81"/>
      <c r="U14" s="81"/>
    </row>
    <row r="15" spans="2:22" ht="24.9" customHeight="1" x14ac:dyDescent="0.4">
      <c r="B15" s="83" t="s">
        <v>101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U15" s="54" t="s">
        <v>88</v>
      </c>
    </row>
    <row r="16" spans="2:22" ht="20.100000000000001" customHeight="1" thickBot="1" x14ac:dyDescent="0.45">
      <c r="B16" s="292" t="s">
        <v>89</v>
      </c>
      <c r="C16" s="293"/>
      <c r="D16" s="149" t="s">
        <v>102</v>
      </c>
      <c r="E16" s="294" t="s">
        <v>103</v>
      </c>
      <c r="F16" s="295"/>
      <c r="G16" s="85" t="s">
        <v>90</v>
      </c>
      <c r="H16" s="56" t="s">
        <v>91</v>
      </c>
      <c r="I16" s="57" t="s">
        <v>92</v>
      </c>
      <c r="J16" s="56" t="s">
        <v>93</v>
      </c>
      <c r="K16" s="149" t="s">
        <v>94</v>
      </c>
      <c r="L16" s="57" t="s">
        <v>95</v>
      </c>
      <c r="M16" s="86" t="s">
        <v>6</v>
      </c>
      <c r="N16" s="149" t="s">
        <v>7</v>
      </c>
      <c r="O16" s="150" t="s">
        <v>8</v>
      </c>
      <c r="P16" s="56" t="s">
        <v>9</v>
      </c>
      <c r="Q16" s="149" t="s">
        <v>10</v>
      </c>
      <c r="R16" s="150" t="s">
        <v>11</v>
      </c>
      <c r="S16" s="56" t="s">
        <v>12</v>
      </c>
      <c r="T16" s="149" t="s">
        <v>13</v>
      </c>
      <c r="U16" s="57" t="s">
        <v>14</v>
      </c>
    </row>
    <row r="17" spans="2:21" ht="20.100000000000001" customHeight="1" thickTop="1" x14ac:dyDescent="0.4">
      <c r="B17" s="281" t="s">
        <v>99</v>
      </c>
      <c r="C17" s="282" t="s">
        <v>100</v>
      </c>
      <c r="D17" s="88">
        <v>6116001</v>
      </c>
      <c r="E17" s="284" t="s">
        <v>104</v>
      </c>
      <c r="F17" s="285"/>
      <c r="G17" s="89">
        <f t="shared" ref="G17:G24" si="2">SUM(H17:I17)</f>
        <v>1600000</v>
      </c>
      <c r="H17" s="90">
        <f t="shared" ref="H17:H24" si="3">SUM(J17:O17)</f>
        <v>1250000</v>
      </c>
      <c r="I17" s="91">
        <f t="shared" ref="I17:I24" si="4">SUM(P17:U17)</f>
        <v>350000</v>
      </c>
      <c r="J17" s="92">
        <v>0</v>
      </c>
      <c r="K17" s="93">
        <v>300000</v>
      </c>
      <c r="L17" s="94">
        <v>400000</v>
      </c>
      <c r="M17" s="95">
        <v>400000</v>
      </c>
      <c r="N17" s="93">
        <v>150000</v>
      </c>
      <c r="O17" s="96">
        <v>0</v>
      </c>
      <c r="P17" s="92">
        <v>0</v>
      </c>
      <c r="Q17" s="93">
        <v>200000</v>
      </c>
      <c r="R17" s="97">
        <v>150000</v>
      </c>
      <c r="S17" s="92"/>
      <c r="T17" s="98">
        <v>0</v>
      </c>
      <c r="U17" s="99">
        <v>0</v>
      </c>
    </row>
    <row r="18" spans="2:21" ht="20.100000000000001" customHeight="1" x14ac:dyDescent="0.4">
      <c r="B18" s="266"/>
      <c r="C18" s="283"/>
      <c r="D18" s="100">
        <v>6116003</v>
      </c>
      <c r="E18" s="274" t="s">
        <v>105</v>
      </c>
      <c r="F18" s="275"/>
      <c r="G18" s="101">
        <f t="shared" si="2"/>
        <v>0</v>
      </c>
      <c r="H18" s="102">
        <f t="shared" si="3"/>
        <v>0</v>
      </c>
      <c r="I18" s="103">
        <f t="shared" si="4"/>
        <v>0</v>
      </c>
      <c r="J18" s="104">
        <v>0</v>
      </c>
      <c r="K18" s="105">
        <v>0</v>
      </c>
      <c r="L18" s="106">
        <v>0</v>
      </c>
      <c r="M18" s="107">
        <v>0</v>
      </c>
      <c r="N18" s="105">
        <v>0</v>
      </c>
      <c r="O18" s="108">
        <v>0</v>
      </c>
      <c r="P18" s="104">
        <v>0</v>
      </c>
      <c r="Q18" s="105">
        <v>0</v>
      </c>
      <c r="R18" s="108"/>
      <c r="S18" s="104">
        <v>0</v>
      </c>
      <c r="T18" s="109">
        <v>0</v>
      </c>
      <c r="U18" s="110">
        <v>0</v>
      </c>
    </row>
    <row r="19" spans="2:21" ht="20.100000000000001" customHeight="1" x14ac:dyDescent="0.4">
      <c r="B19" s="266"/>
      <c r="C19" s="283"/>
      <c r="D19" s="100">
        <v>6116004</v>
      </c>
      <c r="E19" s="274" t="s">
        <v>106</v>
      </c>
      <c r="F19" s="275"/>
      <c r="G19" s="101">
        <f t="shared" si="2"/>
        <v>0</v>
      </c>
      <c r="H19" s="111">
        <f t="shared" si="3"/>
        <v>0</v>
      </c>
      <c r="I19" s="112">
        <f t="shared" si="4"/>
        <v>0</v>
      </c>
      <c r="J19" s="104">
        <v>0</v>
      </c>
      <c r="K19" s="105">
        <v>0</v>
      </c>
      <c r="L19" s="106">
        <v>0</v>
      </c>
      <c r="M19" s="107">
        <v>0</v>
      </c>
      <c r="N19" s="105">
        <v>0</v>
      </c>
      <c r="O19" s="108">
        <v>0</v>
      </c>
      <c r="P19" s="104">
        <v>0</v>
      </c>
      <c r="Q19" s="105">
        <v>0</v>
      </c>
      <c r="R19" s="108">
        <v>0</v>
      </c>
      <c r="S19" s="104">
        <v>0</v>
      </c>
      <c r="T19" s="109">
        <v>0</v>
      </c>
      <c r="U19" s="110">
        <v>0</v>
      </c>
    </row>
    <row r="20" spans="2:21" ht="20.100000000000001" customHeight="1" x14ac:dyDescent="0.4">
      <c r="B20" s="266"/>
      <c r="C20" s="283"/>
      <c r="D20" s="100">
        <v>6116005</v>
      </c>
      <c r="E20" s="274" t="s">
        <v>107</v>
      </c>
      <c r="F20" s="275"/>
      <c r="G20" s="101">
        <f t="shared" si="2"/>
        <v>0</v>
      </c>
      <c r="H20" s="111">
        <f t="shared" si="3"/>
        <v>0</v>
      </c>
      <c r="I20" s="112">
        <f t="shared" si="4"/>
        <v>0</v>
      </c>
      <c r="J20" s="104">
        <v>0</v>
      </c>
      <c r="K20" s="105">
        <v>0</v>
      </c>
      <c r="L20" s="106">
        <v>0</v>
      </c>
      <c r="M20" s="107">
        <v>0</v>
      </c>
      <c r="N20" s="105">
        <v>0</v>
      </c>
      <c r="O20" s="108">
        <v>0</v>
      </c>
      <c r="P20" s="104">
        <v>0</v>
      </c>
      <c r="Q20" s="105">
        <v>0</v>
      </c>
      <c r="R20" s="108">
        <v>0</v>
      </c>
      <c r="S20" s="104">
        <v>0</v>
      </c>
      <c r="T20" s="109">
        <v>0</v>
      </c>
      <c r="U20" s="110">
        <v>0</v>
      </c>
    </row>
    <row r="21" spans="2:21" ht="20.100000000000001" customHeight="1" x14ac:dyDescent="0.4">
      <c r="B21" s="266"/>
      <c r="C21" s="283"/>
      <c r="D21" s="100">
        <v>6116006</v>
      </c>
      <c r="E21" s="274" t="s">
        <v>108</v>
      </c>
      <c r="F21" s="275"/>
      <c r="G21" s="101">
        <f t="shared" si="2"/>
        <v>583000</v>
      </c>
      <c r="H21" s="111">
        <f t="shared" si="3"/>
        <v>337880</v>
      </c>
      <c r="I21" s="112">
        <f t="shared" si="4"/>
        <v>245120</v>
      </c>
      <c r="J21" s="104">
        <v>0</v>
      </c>
      <c r="K21" s="105">
        <v>60270</v>
      </c>
      <c r="L21" s="106">
        <v>99640</v>
      </c>
      <c r="M21" s="107">
        <v>79200</v>
      </c>
      <c r="N21" s="105">
        <v>94670</v>
      </c>
      <c r="O21" s="108">
        <v>4100</v>
      </c>
      <c r="P21" s="104">
        <v>4230</v>
      </c>
      <c r="Q21" s="105">
        <v>75230</v>
      </c>
      <c r="R21" s="108">
        <v>90100</v>
      </c>
      <c r="S21" s="104">
        <v>67230</v>
      </c>
      <c r="T21" s="109">
        <v>4100</v>
      </c>
      <c r="U21" s="110">
        <v>4230</v>
      </c>
    </row>
    <row r="22" spans="2:21" ht="20.100000000000001" customHeight="1" x14ac:dyDescent="0.4">
      <c r="B22" s="266"/>
      <c r="C22" s="283"/>
      <c r="D22" s="100">
        <v>6116008</v>
      </c>
      <c r="E22" s="274" t="s">
        <v>109</v>
      </c>
      <c r="F22" s="275"/>
      <c r="G22" s="101">
        <f t="shared" si="2"/>
        <v>259201</v>
      </c>
      <c r="H22" s="111">
        <f t="shared" si="3"/>
        <v>129813</v>
      </c>
      <c r="I22" s="112">
        <f t="shared" si="4"/>
        <v>129388</v>
      </c>
      <c r="J22" s="104">
        <v>0</v>
      </c>
      <c r="K22" s="105">
        <v>85130</v>
      </c>
      <c r="L22" s="106">
        <v>38800</v>
      </c>
      <c r="M22" s="107">
        <v>0</v>
      </c>
      <c r="N22" s="113">
        <v>5883</v>
      </c>
      <c r="O22" s="108">
        <v>0</v>
      </c>
      <c r="P22" s="104">
        <v>0</v>
      </c>
      <c r="Q22" s="105">
        <v>52060</v>
      </c>
      <c r="R22" s="108">
        <v>9412</v>
      </c>
      <c r="S22" s="104">
        <v>31280</v>
      </c>
      <c r="T22" s="109">
        <v>4800</v>
      </c>
      <c r="U22" s="110">
        <v>31836</v>
      </c>
    </row>
    <row r="23" spans="2:21" ht="20.100000000000001" customHeight="1" x14ac:dyDescent="0.4">
      <c r="B23" s="266"/>
      <c r="C23" s="283"/>
      <c r="D23" s="100">
        <v>6116017</v>
      </c>
      <c r="E23" s="274" t="s">
        <v>110</v>
      </c>
      <c r="F23" s="275"/>
      <c r="G23" s="101">
        <f t="shared" si="2"/>
        <v>457800</v>
      </c>
      <c r="H23" s="111">
        <f t="shared" si="3"/>
        <v>343400</v>
      </c>
      <c r="I23" s="112">
        <f t="shared" si="4"/>
        <v>114400</v>
      </c>
      <c r="J23" s="104">
        <v>0</v>
      </c>
      <c r="K23" s="105">
        <v>0</v>
      </c>
      <c r="L23" s="106">
        <v>185600</v>
      </c>
      <c r="M23" s="107">
        <v>100600</v>
      </c>
      <c r="N23" s="105">
        <v>52600</v>
      </c>
      <c r="O23" s="108">
        <v>4600</v>
      </c>
      <c r="P23" s="104">
        <v>4600</v>
      </c>
      <c r="Q23" s="105">
        <v>52600</v>
      </c>
      <c r="R23" s="108">
        <v>52600</v>
      </c>
      <c r="S23" s="104">
        <v>4600</v>
      </c>
      <c r="T23" s="109">
        <v>0</v>
      </c>
      <c r="U23" s="110">
        <v>0</v>
      </c>
    </row>
    <row r="24" spans="2:21" ht="20.100000000000001" customHeight="1" x14ac:dyDescent="0.4">
      <c r="B24" s="266"/>
      <c r="C24" s="283"/>
      <c r="D24" s="100">
        <v>6116023</v>
      </c>
      <c r="E24" s="276" t="s">
        <v>111</v>
      </c>
      <c r="F24" s="277"/>
      <c r="G24" s="114">
        <f t="shared" si="2"/>
        <v>1100000</v>
      </c>
      <c r="H24" s="115">
        <f t="shared" si="3"/>
        <v>950000</v>
      </c>
      <c r="I24" s="116">
        <f t="shared" si="4"/>
        <v>150000</v>
      </c>
      <c r="J24" s="104">
        <v>0</v>
      </c>
      <c r="K24" s="105">
        <v>0</v>
      </c>
      <c r="L24" s="106">
        <v>400000</v>
      </c>
      <c r="M24" s="107">
        <v>400000</v>
      </c>
      <c r="N24" s="105">
        <v>150000</v>
      </c>
      <c r="O24" s="108"/>
      <c r="P24" s="104">
        <v>0</v>
      </c>
      <c r="Q24" s="105">
        <v>0</v>
      </c>
      <c r="R24" s="108">
        <v>150000</v>
      </c>
      <c r="S24" s="104">
        <v>0</v>
      </c>
      <c r="T24" s="109">
        <v>0</v>
      </c>
      <c r="U24" s="110">
        <v>0</v>
      </c>
    </row>
    <row r="25" spans="2:21" ht="20.100000000000001" customHeight="1" x14ac:dyDescent="0.4">
      <c r="B25" s="266"/>
      <c r="C25" s="283"/>
      <c r="D25" s="278" t="s">
        <v>112</v>
      </c>
      <c r="E25" s="279"/>
      <c r="F25" s="280"/>
      <c r="G25" s="117">
        <f t="shared" ref="G25:U25" si="5">SUM(G17:G24)</f>
        <v>4000001</v>
      </c>
      <c r="H25" s="118">
        <f t="shared" si="5"/>
        <v>3011093</v>
      </c>
      <c r="I25" s="119">
        <f t="shared" si="5"/>
        <v>988908</v>
      </c>
      <c r="J25" s="120">
        <f t="shared" si="5"/>
        <v>0</v>
      </c>
      <c r="K25" s="121">
        <f t="shared" si="5"/>
        <v>445400</v>
      </c>
      <c r="L25" s="122">
        <f t="shared" si="5"/>
        <v>1124040</v>
      </c>
      <c r="M25" s="123">
        <f t="shared" si="5"/>
        <v>979800</v>
      </c>
      <c r="N25" s="121">
        <f t="shared" si="5"/>
        <v>453153</v>
      </c>
      <c r="O25" s="124">
        <f t="shared" si="5"/>
        <v>8700</v>
      </c>
      <c r="P25" s="120">
        <f t="shared" si="5"/>
        <v>8830</v>
      </c>
      <c r="Q25" s="121">
        <f t="shared" si="5"/>
        <v>379890</v>
      </c>
      <c r="R25" s="124">
        <f t="shared" si="5"/>
        <v>452112</v>
      </c>
      <c r="S25" s="120">
        <f t="shared" si="5"/>
        <v>103110</v>
      </c>
      <c r="T25" s="121">
        <f t="shared" si="5"/>
        <v>8900</v>
      </c>
      <c r="U25" s="122">
        <f t="shared" si="5"/>
        <v>36066</v>
      </c>
    </row>
    <row r="26" spans="2:21" ht="20.399999999999999" customHeight="1" x14ac:dyDescent="0.4">
      <c r="B26" s="271" t="s">
        <v>113</v>
      </c>
      <c r="C26" s="272"/>
      <c r="D26" s="272"/>
      <c r="E26" s="272"/>
      <c r="F26" s="273"/>
      <c r="G26" s="125">
        <f t="shared" ref="G26:U26" si="6">G25</f>
        <v>4000001</v>
      </c>
      <c r="H26" s="126">
        <f t="shared" si="6"/>
        <v>3011093</v>
      </c>
      <c r="I26" s="127">
        <f t="shared" si="6"/>
        <v>988908</v>
      </c>
      <c r="J26" s="126">
        <f t="shared" si="6"/>
        <v>0</v>
      </c>
      <c r="K26" s="128">
        <f t="shared" si="6"/>
        <v>445400</v>
      </c>
      <c r="L26" s="127">
        <f t="shared" si="6"/>
        <v>1124040</v>
      </c>
      <c r="M26" s="126">
        <f t="shared" si="6"/>
        <v>979800</v>
      </c>
      <c r="N26" s="128">
        <f t="shared" si="6"/>
        <v>453153</v>
      </c>
      <c r="O26" s="127">
        <f t="shared" si="6"/>
        <v>8700</v>
      </c>
      <c r="P26" s="129">
        <f t="shared" si="6"/>
        <v>8830</v>
      </c>
      <c r="Q26" s="128">
        <f t="shared" si="6"/>
        <v>379890</v>
      </c>
      <c r="R26" s="130">
        <f t="shared" si="6"/>
        <v>452112</v>
      </c>
      <c r="S26" s="126">
        <f t="shared" si="6"/>
        <v>103110</v>
      </c>
      <c r="T26" s="128">
        <f t="shared" si="6"/>
        <v>8900</v>
      </c>
      <c r="U26" s="127">
        <f t="shared" si="6"/>
        <v>36066</v>
      </c>
    </row>
    <row r="27" spans="2:21" ht="20.100000000000001" customHeight="1" x14ac:dyDescent="0.4"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</row>
    <row r="28" spans="2:21" ht="20.100000000000001" customHeight="1" x14ac:dyDescent="0.4"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</row>
    <row r="29" spans="2:21" ht="20.100000000000001" customHeight="1" x14ac:dyDescent="0.4"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</row>
  </sheetData>
  <mergeCells count="17"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  <mergeCell ref="B11:C11"/>
    <mergeCell ref="S11:U11"/>
    <mergeCell ref="S12:U12"/>
    <mergeCell ref="B16:C16"/>
    <mergeCell ref="E16:F16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16</vt:i4>
      </vt:variant>
    </vt:vector>
  </HeadingPairs>
  <TitlesOfParts>
    <vt:vector size="32" baseType="lpstr">
      <vt:lpstr>1. 예산사용 상세 231222</vt:lpstr>
      <vt:lpstr>1. 예산사용 상세 231017</vt:lpstr>
      <vt:lpstr>1. 예산사용 상세 230818</vt:lpstr>
      <vt:lpstr>1. 예산사용 상세 230628</vt:lpstr>
      <vt:lpstr>1. 예산사용 상세 230424</vt:lpstr>
      <vt:lpstr>1. 예산사용 상세 230406</vt:lpstr>
      <vt:lpstr>1. 예산사용 상세 230314</vt:lpstr>
      <vt:lpstr>1. 예산사용 상세 230118</vt:lpstr>
      <vt:lpstr>2. 2022년 계획 231222</vt:lpstr>
      <vt:lpstr>2. 2022년 계획 231017</vt:lpstr>
      <vt:lpstr>2. 2022년 계획 230818</vt:lpstr>
      <vt:lpstr>2. 2022년 계획 230628</vt:lpstr>
      <vt:lpstr>2. 2022년 계획 230424</vt:lpstr>
      <vt:lpstr>2. 2022년 계획 230406</vt:lpstr>
      <vt:lpstr>2. 2022년 계획 230314</vt:lpstr>
      <vt:lpstr>2. 2022년 계획 230118</vt:lpstr>
      <vt:lpstr>'1. 예산사용 상세 230118'!Print_Area</vt:lpstr>
      <vt:lpstr>'1. 예산사용 상세 230314'!Print_Area</vt:lpstr>
      <vt:lpstr>'1. 예산사용 상세 230406'!Print_Area</vt:lpstr>
      <vt:lpstr>'1. 예산사용 상세 230424'!Print_Area</vt:lpstr>
      <vt:lpstr>'1. 예산사용 상세 230628'!Print_Area</vt:lpstr>
      <vt:lpstr>'1. 예산사용 상세 230818'!Print_Area</vt:lpstr>
      <vt:lpstr>'1. 예산사용 상세 231017'!Print_Area</vt:lpstr>
      <vt:lpstr>'1. 예산사용 상세 231222'!Print_Area</vt:lpstr>
      <vt:lpstr>'2. 2022년 계획 230118'!Print_Titles</vt:lpstr>
      <vt:lpstr>'2. 2022년 계획 230314'!Print_Titles</vt:lpstr>
      <vt:lpstr>'2. 2022년 계획 230406'!Print_Titles</vt:lpstr>
      <vt:lpstr>'2. 2022년 계획 230424'!Print_Titles</vt:lpstr>
      <vt:lpstr>'2. 2022년 계획 230628'!Print_Titles</vt:lpstr>
      <vt:lpstr>'2. 2022년 계획 230818'!Print_Titles</vt:lpstr>
      <vt:lpstr>'2. 2022년 계획 231017'!Print_Titles</vt:lpstr>
      <vt:lpstr>'2. 2022년 계획 231222'!Print_Titles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sehee</dc:creator>
  <cp:lastModifiedBy>sehee</cp:lastModifiedBy>
  <dcterms:created xsi:type="dcterms:W3CDTF">2023-01-04T12:14:35Z</dcterms:created>
  <dcterms:modified xsi:type="dcterms:W3CDTF">2023-12-22T02:21:19Z</dcterms:modified>
</cp:coreProperties>
</file>